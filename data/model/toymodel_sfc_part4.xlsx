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noo\Downloads\"/>
    </mc:Choice>
  </mc:AlternateContent>
  <xr:revisionPtr revIDLastSave="0" documentId="13_ncr:1_{DD250EB7-3AE2-4FB7-9330-4E6AA2AD570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EADME" sheetId="1" r:id="rId1"/>
    <sheet name="ASSUMPTIONS" sheetId="2" r:id="rId2"/>
    <sheet name="REALWORLD_DATA" sheetId="3" r:id="rId3"/>
    <sheet name="AmeriCo" sheetId="4" r:id="rId4"/>
    <sheet name="GovCo" sheetId="5" r:id="rId5"/>
    <sheet name="HouseholdCo" sheetId="6" r:id="rId6"/>
    <sheet name="ManuCo" sheetId="7" r:id="rId7"/>
    <sheet name="ProdServiceCo" sheetId="8" r:id="rId8"/>
    <sheet name="FinServCo" sheetId="9" r:id="rId9"/>
    <sheet name="AmeriBankCo" sheetId="10" r:id="rId10"/>
    <sheet name="InsuranceCo" sheetId="11" r:id="rId11"/>
    <sheet name="OtherBankCo" sheetId="12" r:id="rId12"/>
    <sheet name="JapanCo" sheetId="13" r:id="rId13"/>
    <sheet name="CommodityCo" sheetId="14" r:id="rId14"/>
    <sheet name="ClearCo" sheetId="15" r:id="rId15"/>
    <sheet name="GlobalBankCo" sheetId="16" r:id="rId16"/>
    <sheet name="RepoCo" sheetId="17" r:id="rId17"/>
    <sheet name="HedgeCo" sheetId="18" r:id="rId18"/>
    <sheet name="FedCo" sheetId="19" r:id="rId19"/>
    <sheet name="SFC_CHECK" sheetId="20" r:id="rId20"/>
    <sheet name="MEASURES" sheetId="21" r:id="rId21"/>
    <sheet name="CONTAGION" sheetId="22" r:id="rId22"/>
    <sheet name="JapanCo_Rebalance" sheetId="23" r:id="rId23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9" i="22" l="1"/>
  <c r="G116" i="22"/>
  <c r="F116" i="22"/>
  <c r="E116" i="22"/>
  <c r="D116" i="22"/>
  <c r="C116" i="22"/>
  <c r="C112" i="22"/>
  <c r="H106" i="22"/>
  <c r="H105" i="22"/>
  <c r="H104" i="22"/>
  <c r="C96" i="22"/>
  <c r="D89" i="22"/>
  <c r="D90" i="22" s="1"/>
  <c r="D91" i="22" s="1"/>
  <c r="C89" i="22"/>
  <c r="G88" i="22"/>
  <c r="F88" i="22"/>
  <c r="D88" i="22"/>
  <c r="C88" i="22"/>
  <c r="G87" i="22"/>
  <c r="F87" i="22"/>
  <c r="D87" i="22"/>
  <c r="C87" i="22"/>
  <c r="G86" i="22"/>
  <c r="F86" i="22"/>
  <c r="E86" i="22"/>
  <c r="C86" i="22"/>
  <c r="G85" i="22"/>
  <c r="F85" i="22"/>
  <c r="E85" i="22"/>
  <c r="C85" i="22"/>
  <c r="C52" i="22"/>
  <c r="D52" i="22" s="1"/>
  <c r="C51" i="22"/>
  <c r="C53" i="22" s="1"/>
  <c r="C50" i="22"/>
  <c r="C49" i="22"/>
  <c r="C39" i="22"/>
  <c r="C18" i="22"/>
  <c r="C9" i="22"/>
  <c r="C19" i="22" s="1"/>
  <c r="B9" i="22"/>
  <c r="J58" i="21"/>
  <c r="I58" i="21"/>
  <c r="H58" i="21"/>
  <c r="G58" i="21"/>
  <c r="F58" i="21"/>
  <c r="E58" i="21"/>
  <c r="D58" i="21"/>
  <c r="C58" i="21"/>
  <c r="M37" i="21"/>
  <c r="L37" i="21"/>
  <c r="K37" i="21"/>
  <c r="J37" i="21"/>
  <c r="I37" i="21"/>
  <c r="H37" i="21"/>
  <c r="G37" i="21"/>
  <c r="F37" i="21"/>
  <c r="E37" i="21"/>
  <c r="D37" i="21"/>
  <c r="C37" i="21"/>
  <c r="M34" i="21"/>
  <c r="L34" i="21"/>
  <c r="K34" i="21"/>
  <c r="J34" i="21"/>
  <c r="I34" i="21"/>
  <c r="H34" i="21"/>
  <c r="G34" i="21"/>
  <c r="F34" i="21"/>
  <c r="E34" i="21"/>
  <c r="D34" i="21"/>
  <c r="C34" i="21"/>
  <c r="C33" i="21"/>
  <c r="C32" i="21"/>
  <c r="M31" i="21"/>
  <c r="M32" i="21" s="1"/>
  <c r="M33" i="21" s="1"/>
  <c r="L31" i="21"/>
  <c r="L32" i="21" s="1"/>
  <c r="L33" i="21" s="1"/>
  <c r="K31" i="21"/>
  <c r="K32" i="21" s="1"/>
  <c r="K33" i="21" s="1"/>
  <c r="J31" i="21"/>
  <c r="J32" i="21" s="1"/>
  <c r="J33" i="21" s="1"/>
  <c r="I31" i="21"/>
  <c r="I32" i="21" s="1"/>
  <c r="I33" i="21" s="1"/>
  <c r="H31" i="21"/>
  <c r="H32" i="21" s="1"/>
  <c r="H33" i="21" s="1"/>
  <c r="G31" i="21"/>
  <c r="G32" i="21" s="1"/>
  <c r="G33" i="21" s="1"/>
  <c r="F31" i="21"/>
  <c r="F32" i="21" s="1"/>
  <c r="F33" i="21" s="1"/>
  <c r="E31" i="21"/>
  <c r="E32" i="21" s="1"/>
  <c r="E33" i="21" s="1"/>
  <c r="D31" i="21"/>
  <c r="D32" i="21" s="1"/>
  <c r="D33" i="21" s="1"/>
  <c r="M30" i="21"/>
  <c r="L30" i="21"/>
  <c r="K30" i="21"/>
  <c r="J30" i="21"/>
  <c r="I30" i="21"/>
  <c r="H30" i="21"/>
  <c r="G30" i="21"/>
  <c r="F30" i="21"/>
  <c r="E30" i="21"/>
  <c r="D30" i="21"/>
  <c r="C30" i="21"/>
  <c r="M23" i="21"/>
  <c r="L23" i="21"/>
  <c r="K23" i="21"/>
  <c r="J23" i="21"/>
  <c r="I23" i="21"/>
  <c r="H23" i="21"/>
  <c r="G23" i="21"/>
  <c r="F23" i="21"/>
  <c r="E23" i="21"/>
  <c r="D23" i="21"/>
  <c r="C23" i="21"/>
  <c r="M16" i="21"/>
  <c r="L16" i="21"/>
  <c r="K16" i="21"/>
  <c r="J16" i="21"/>
  <c r="I16" i="21"/>
  <c r="H16" i="21"/>
  <c r="G16" i="21"/>
  <c r="F16" i="21"/>
  <c r="E16" i="21"/>
  <c r="D16" i="21"/>
  <c r="C16" i="21"/>
  <c r="M49" i="20"/>
  <c r="L49" i="20"/>
  <c r="K49" i="20"/>
  <c r="J49" i="20"/>
  <c r="I49" i="20"/>
  <c r="H49" i="20"/>
  <c r="G49" i="20"/>
  <c r="F49" i="20"/>
  <c r="E49" i="20"/>
  <c r="D49" i="20"/>
  <c r="C49" i="20"/>
  <c r="C48" i="20"/>
  <c r="C34" i="20"/>
  <c r="M33" i="20"/>
  <c r="L33" i="20"/>
  <c r="K33" i="20"/>
  <c r="J33" i="20"/>
  <c r="I33" i="20"/>
  <c r="H33" i="20"/>
  <c r="G33" i="20"/>
  <c r="F33" i="20"/>
  <c r="E33" i="20"/>
  <c r="D33" i="20"/>
  <c r="C33" i="20"/>
  <c r="M27" i="20"/>
  <c r="L27" i="20"/>
  <c r="K27" i="20"/>
  <c r="J27" i="20"/>
  <c r="I27" i="20"/>
  <c r="H27" i="20"/>
  <c r="G27" i="20"/>
  <c r="F27" i="20"/>
  <c r="E27" i="20"/>
  <c r="D27" i="20"/>
  <c r="C27" i="20"/>
  <c r="L14" i="20"/>
  <c r="K14" i="20"/>
  <c r="J14" i="20"/>
  <c r="I14" i="20"/>
  <c r="H14" i="20"/>
  <c r="G14" i="20"/>
  <c r="F14" i="20"/>
  <c r="E14" i="20"/>
  <c r="D14" i="20"/>
  <c r="C14" i="20"/>
  <c r="L13" i="20"/>
  <c r="K13" i="20"/>
  <c r="J13" i="20"/>
  <c r="I13" i="20"/>
  <c r="H13" i="20"/>
  <c r="G13" i="20"/>
  <c r="F13" i="20"/>
  <c r="E13" i="20"/>
  <c r="D13" i="20"/>
  <c r="C13" i="20"/>
  <c r="L12" i="20"/>
  <c r="K12" i="20"/>
  <c r="J12" i="20"/>
  <c r="I12" i="20"/>
  <c r="H12" i="20"/>
  <c r="G12" i="20"/>
  <c r="F12" i="20"/>
  <c r="E12" i="20"/>
  <c r="D12" i="20"/>
  <c r="C12" i="20"/>
  <c r="C10" i="20"/>
  <c r="C7" i="20"/>
  <c r="C6" i="20"/>
  <c r="D5" i="20"/>
  <c r="C5" i="20"/>
  <c r="J21" i="19"/>
  <c r="J51" i="20" s="1"/>
  <c r="I21" i="19"/>
  <c r="I51" i="20" s="1"/>
  <c r="H21" i="19"/>
  <c r="H51" i="20" s="1"/>
  <c r="G21" i="19"/>
  <c r="G51" i="20" s="1"/>
  <c r="F21" i="19"/>
  <c r="F51" i="20" s="1"/>
  <c r="E21" i="19"/>
  <c r="E51" i="20" s="1"/>
  <c r="D21" i="19"/>
  <c r="D51" i="20" s="1"/>
  <c r="C21" i="19"/>
  <c r="C51" i="20" s="1"/>
  <c r="M18" i="19"/>
  <c r="D10" i="19"/>
  <c r="E10" i="19" s="1"/>
  <c r="F10" i="19" s="1"/>
  <c r="G10" i="19" s="1"/>
  <c r="H10" i="19" s="1"/>
  <c r="I10" i="19" s="1"/>
  <c r="J10" i="19" s="1"/>
  <c r="K10" i="19" s="1"/>
  <c r="L10" i="19" s="1"/>
  <c r="M10" i="19" s="1"/>
  <c r="D9" i="19"/>
  <c r="D5" i="19"/>
  <c r="E5" i="19" s="1"/>
  <c r="F5" i="19" s="1"/>
  <c r="G5" i="19" s="1"/>
  <c r="H5" i="19" s="1"/>
  <c r="I5" i="19" s="1"/>
  <c r="J5" i="19" s="1"/>
  <c r="K5" i="19" s="1"/>
  <c r="L5" i="19" s="1"/>
  <c r="M5" i="19" s="1"/>
  <c r="C4" i="19"/>
  <c r="M22" i="18"/>
  <c r="C10" i="18"/>
  <c r="C8" i="20" s="1"/>
  <c r="M17" i="17"/>
  <c r="L17" i="17"/>
  <c r="K17" i="17"/>
  <c r="J17" i="17"/>
  <c r="I17" i="17"/>
  <c r="H17" i="17"/>
  <c r="G17" i="17"/>
  <c r="F17" i="17"/>
  <c r="E17" i="17"/>
  <c r="D17" i="17"/>
  <c r="C17" i="17"/>
  <c r="C13" i="17"/>
  <c r="C10" i="17"/>
  <c r="C5" i="17"/>
  <c r="C36" i="16"/>
  <c r="C37" i="16" s="1"/>
  <c r="M34" i="16"/>
  <c r="L34" i="16"/>
  <c r="K34" i="16"/>
  <c r="J34" i="16"/>
  <c r="I34" i="16"/>
  <c r="H34" i="16"/>
  <c r="G34" i="16"/>
  <c r="F34" i="16"/>
  <c r="E34" i="16"/>
  <c r="D34" i="16"/>
  <c r="M30" i="16"/>
  <c r="L30" i="16"/>
  <c r="K30" i="16"/>
  <c r="J30" i="16"/>
  <c r="I30" i="16"/>
  <c r="H30" i="16"/>
  <c r="G30" i="16"/>
  <c r="F30" i="16"/>
  <c r="E30" i="16"/>
  <c r="D30" i="16"/>
  <c r="C30" i="16"/>
  <c r="M16" i="16"/>
  <c r="L16" i="16"/>
  <c r="K16" i="16"/>
  <c r="J16" i="16"/>
  <c r="I16" i="16"/>
  <c r="H16" i="16"/>
  <c r="G16" i="16"/>
  <c r="F16" i="16"/>
  <c r="E16" i="16"/>
  <c r="D16" i="16"/>
  <c r="C13" i="16"/>
  <c r="D15" i="16" s="1"/>
  <c r="D12" i="16"/>
  <c r="C12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C7" i="16"/>
  <c r="D6" i="16"/>
  <c r="E6" i="16" s="1"/>
  <c r="F6" i="16" s="1"/>
  <c r="G6" i="16" s="1"/>
  <c r="H6" i="16" s="1"/>
  <c r="I6" i="16" s="1"/>
  <c r="J6" i="16" s="1"/>
  <c r="K6" i="16" s="1"/>
  <c r="L6" i="16" s="1"/>
  <c r="M6" i="16" s="1"/>
  <c r="M14" i="15"/>
  <c r="L14" i="15"/>
  <c r="K14" i="15"/>
  <c r="J14" i="15"/>
  <c r="I14" i="15"/>
  <c r="H14" i="15"/>
  <c r="G14" i="15"/>
  <c r="F14" i="15"/>
  <c r="E14" i="15"/>
  <c r="D14" i="15"/>
  <c r="C14" i="15"/>
  <c r="C4" i="15"/>
  <c r="M31" i="14"/>
  <c r="M27" i="14"/>
  <c r="L27" i="14"/>
  <c r="K27" i="14"/>
  <c r="J27" i="14"/>
  <c r="I27" i="14"/>
  <c r="H27" i="14"/>
  <c r="G27" i="14"/>
  <c r="F27" i="14"/>
  <c r="E27" i="14"/>
  <c r="D27" i="14"/>
  <c r="C27" i="14"/>
  <c r="M26" i="14"/>
  <c r="L26" i="14"/>
  <c r="K26" i="14"/>
  <c r="J26" i="14"/>
  <c r="I26" i="14"/>
  <c r="H26" i="14"/>
  <c r="G26" i="14"/>
  <c r="F26" i="14"/>
  <c r="E26" i="14"/>
  <c r="D26" i="14"/>
  <c r="C26" i="14"/>
  <c r="M25" i="14"/>
  <c r="L25" i="14"/>
  <c r="K25" i="14"/>
  <c r="J25" i="14"/>
  <c r="I25" i="14"/>
  <c r="H25" i="14"/>
  <c r="G25" i="14"/>
  <c r="F25" i="14"/>
  <c r="E25" i="14"/>
  <c r="D25" i="14"/>
  <c r="C25" i="14"/>
  <c r="D15" i="14"/>
  <c r="E15" i="14" s="1"/>
  <c r="F15" i="14" s="1"/>
  <c r="G15" i="14" s="1"/>
  <c r="H15" i="14" s="1"/>
  <c r="I15" i="14" s="1"/>
  <c r="J15" i="14" s="1"/>
  <c r="K15" i="14" s="1"/>
  <c r="L15" i="14" s="1"/>
  <c r="M15" i="14" s="1"/>
  <c r="C14" i="14"/>
  <c r="C28" i="14" s="1"/>
  <c r="D13" i="14"/>
  <c r="C8" i="14"/>
  <c r="D8" i="14" s="1"/>
  <c r="E8" i="14" s="1"/>
  <c r="F8" i="14" s="1"/>
  <c r="G8" i="14" s="1"/>
  <c r="H8" i="14" s="1"/>
  <c r="I8" i="14" s="1"/>
  <c r="J8" i="14" s="1"/>
  <c r="K8" i="14" s="1"/>
  <c r="L8" i="14" s="1"/>
  <c r="D7" i="14"/>
  <c r="E7" i="14" s="1"/>
  <c r="F7" i="14" s="1"/>
  <c r="G7" i="14" s="1"/>
  <c r="H7" i="14" s="1"/>
  <c r="I7" i="14" s="1"/>
  <c r="J7" i="14" s="1"/>
  <c r="K7" i="14" s="1"/>
  <c r="L7" i="14" s="1"/>
  <c r="M7" i="14" s="1"/>
  <c r="C6" i="14"/>
  <c r="D6" i="14" s="1"/>
  <c r="E6" i="14" s="1"/>
  <c r="F6" i="14" s="1"/>
  <c r="G6" i="14" s="1"/>
  <c r="H6" i="14" s="1"/>
  <c r="I6" i="14" s="1"/>
  <c r="J6" i="14" s="1"/>
  <c r="K6" i="14" s="1"/>
  <c r="L6" i="14" s="1"/>
  <c r="M6" i="14" s="1"/>
  <c r="C5" i="14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E88" i="22" s="1"/>
  <c r="H88" i="22" s="1"/>
  <c r="C4" i="14"/>
  <c r="J29" i="13"/>
  <c r="I29" i="13"/>
  <c r="H29" i="13"/>
  <c r="G29" i="13"/>
  <c r="F29" i="13"/>
  <c r="E29" i="13"/>
  <c r="D29" i="13"/>
  <c r="C29" i="13"/>
  <c r="C27" i="13"/>
  <c r="M25" i="13"/>
  <c r="M26" i="13" s="1"/>
  <c r="L25" i="13"/>
  <c r="L26" i="13" s="1"/>
  <c r="K25" i="13"/>
  <c r="K26" i="13" s="1"/>
  <c r="J25" i="13"/>
  <c r="J26" i="13" s="1"/>
  <c r="I25" i="13"/>
  <c r="I26" i="13" s="1"/>
  <c r="H25" i="13"/>
  <c r="H26" i="13" s="1"/>
  <c r="G25" i="13"/>
  <c r="G26" i="13" s="1"/>
  <c r="F25" i="13"/>
  <c r="F26" i="13" s="1"/>
  <c r="E25" i="13"/>
  <c r="E26" i="13" s="1"/>
  <c r="D25" i="13"/>
  <c r="D26" i="13" s="1"/>
  <c r="C25" i="13"/>
  <c r="C26" i="13" s="1"/>
  <c r="C32" i="16" s="1"/>
  <c r="C33" i="16" s="1"/>
  <c r="M24" i="13"/>
  <c r="L24" i="13"/>
  <c r="K24" i="13"/>
  <c r="J24" i="13"/>
  <c r="I24" i="13"/>
  <c r="H24" i="13"/>
  <c r="G24" i="13"/>
  <c r="F24" i="13"/>
  <c r="E24" i="13"/>
  <c r="D24" i="13"/>
  <c r="C24" i="13"/>
  <c r="M23" i="13"/>
  <c r="L23" i="13"/>
  <c r="K23" i="13"/>
  <c r="J23" i="13"/>
  <c r="I23" i="13"/>
  <c r="H23" i="13"/>
  <c r="G23" i="13"/>
  <c r="F23" i="13"/>
  <c r="E23" i="13"/>
  <c r="D23" i="13"/>
  <c r="C23" i="13"/>
  <c r="M22" i="13"/>
  <c r="L22" i="13"/>
  <c r="K22" i="13"/>
  <c r="J22" i="13"/>
  <c r="I22" i="13"/>
  <c r="H22" i="13"/>
  <c r="G22" i="13"/>
  <c r="F22" i="13"/>
  <c r="E22" i="13"/>
  <c r="D22" i="13"/>
  <c r="C22" i="13"/>
  <c r="M21" i="13"/>
  <c r="L21" i="13"/>
  <c r="K21" i="13"/>
  <c r="J21" i="13"/>
  <c r="I21" i="13"/>
  <c r="H21" i="13"/>
  <c r="G21" i="13"/>
  <c r="F21" i="13"/>
  <c r="E21" i="13"/>
  <c r="D21" i="13"/>
  <c r="C21" i="13"/>
  <c r="M17" i="13"/>
  <c r="L17" i="13"/>
  <c r="K17" i="13"/>
  <c r="J17" i="13"/>
  <c r="I17" i="13"/>
  <c r="H17" i="13"/>
  <c r="G17" i="13"/>
  <c r="F17" i="13"/>
  <c r="E17" i="13"/>
  <c r="D17" i="13"/>
  <c r="C17" i="13"/>
  <c r="C16" i="13"/>
  <c r="C13" i="13"/>
  <c r="D12" i="13"/>
  <c r="E12" i="13" s="1"/>
  <c r="F12" i="13" s="1"/>
  <c r="G12" i="13" s="1"/>
  <c r="H12" i="13" s="1"/>
  <c r="I12" i="13" s="1"/>
  <c r="J12" i="13" s="1"/>
  <c r="K12" i="13" s="1"/>
  <c r="L12" i="13" s="1"/>
  <c r="M12" i="13" s="1"/>
  <c r="D11" i="13"/>
  <c r="C8" i="13"/>
  <c r="D7" i="13"/>
  <c r="D6" i="13"/>
  <c r="E6" i="13" s="1"/>
  <c r="F6" i="13" s="1"/>
  <c r="G6" i="13" s="1"/>
  <c r="H6" i="13" s="1"/>
  <c r="I6" i="13" s="1"/>
  <c r="J6" i="13" s="1"/>
  <c r="K6" i="13" s="1"/>
  <c r="L6" i="13" s="1"/>
  <c r="M6" i="13" s="1"/>
  <c r="D5" i="13"/>
  <c r="E5" i="13" s="1"/>
  <c r="D4" i="13"/>
  <c r="M12" i="12"/>
  <c r="L12" i="12"/>
  <c r="K12" i="12"/>
  <c r="J12" i="12"/>
  <c r="I12" i="12"/>
  <c r="H12" i="12"/>
  <c r="G12" i="12"/>
  <c r="F12" i="12"/>
  <c r="E12" i="12"/>
  <c r="D12" i="12"/>
  <c r="C12" i="12"/>
  <c r="C7" i="12"/>
  <c r="M12" i="10"/>
  <c r="L12" i="10"/>
  <c r="K12" i="10"/>
  <c r="J12" i="10"/>
  <c r="I12" i="10"/>
  <c r="H12" i="10"/>
  <c r="G12" i="10"/>
  <c r="F12" i="10"/>
  <c r="E12" i="10"/>
  <c r="D12" i="10"/>
  <c r="C12" i="10"/>
  <c r="M8" i="10"/>
  <c r="L8" i="10"/>
  <c r="K8" i="10"/>
  <c r="J8" i="10"/>
  <c r="I8" i="10"/>
  <c r="H8" i="10"/>
  <c r="G8" i="10"/>
  <c r="F8" i="10"/>
  <c r="E8" i="10"/>
  <c r="D8" i="10"/>
  <c r="C8" i="10"/>
  <c r="C7" i="10"/>
  <c r="C24" i="20" s="1"/>
  <c r="C5" i="10"/>
  <c r="M29" i="9"/>
  <c r="M23" i="9"/>
  <c r="M26" i="21" s="1"/>
  <c r="L23" i="9"/>
  <c r="L26" i="21" s="1"/>
  <c r="K23" i="9"/>
  <c r="K26" i="21" s="1"/>
  <c r="J23" i="9"/>
  <c r="J26" i="21" s="1"/>
  <c r="I23" i="9"/>
  <c r="I26" i="21" s="1"/>
  <c r="H23" i="9"/>
  <c r="H26" i="21" s="1"/>
  <c r="G23" i="9"/>
  <c r="G26" i="21" s="1"/>
  <c r="F23" i="9"/>
  <c r="F26" i="21" s="1"/>
  <c r="E23" i="9"/>
  <c r="E26" i="21" s="1"/>
  <c r="D23" i="9"/>
  <c r="D26" i="21" s="1"/>
  <c r="C23" i="9"/>
  <c r="C26" i="21" s="1"/>
  <c r="C14" i="9"/>
  <c r="C15" i="9" s="1"/>
  <c r="C17" i="6" s="1"/>
  <c r="M13" i="9"/>
  <c r="L13" i="9"/>
  <c r="L17" i="9" s="1"/>
  <c r="K13" i="9"/>
  <c r="K17" i="9" s="1"/>
  <c r="J13" i="9"/>
  <c r="J17" i="9" s="1"/>
  <c r="I13" i="9"/>
  <c r="I17" i="9" s="1"/>
  <c r="H13" i="9"/>
  <c r="H17" i="9" s="1"/>
  <c r="G13" i="9"/>
  <c r="G17" i="9" s="1"/>
  <c r="F13" i="9"/>
  <c r="F17" i="9" s="1"/>
  <c r="E13" i="9"/>
  <c r="E17" i="9" s="1"/>
  <c r="D13" i="9"/>
  <c r="D17" i="9" s="1"/>
  <c r="C13" i="9"/>
  <c r="C17" i="9" s="1"/>
  <c r="C9" i="9"/>
  <c r="C8" i="9"/>
  <c r="M7" i="9"/>
  <c r="M25" i="20" s="1"/>
  <c r="L7" i="9"/>
  <c r="L25" i="20" s="1"/>
  <c r="K7" i="9"/>
  <c r="K25" i="20" s="1"/>
  <c r="J7" i="9"/>
  <c r="J25" i="20" s="1"/>
  <c r="I7" i="9"/>
  <c r="I25" i="20" s="1"/>
  <c r="H7" i="9"/>
  <c r="H25" i="20" s="1"/>
  <c r="G7" i="9"/>
  <c r="G25" i="20" s="1"/>
  <c r="F7" i="9"/>
  <c r="F25" i="20" s="1"/>
  <c r="E7" i="9"/>
  <c r="E25" i="20" s="1"/>
  <c r="D7" i="9"/>
  <c r="D25" i="20" s="1"/>
  <c r="C7" i="9"/>
  <c r="C25" i="20" s="1"/>
  <c r="M18" i="8"/>
  <c r="L18" i="8"/>
  <c r="K18" i="8"/>
  <c r="J18" i="8"/>
  <c r="I18" i="8"/>
  <c r="H18" i="8"/>
  <c r="G18" i="8"/>
  <c r="F18" i="8"/>
  <c r="E18" i="8"/>
  <c r="D18" i="8"/>
  <c r="M13" i="8"/>
  <c r="L13" i="8"/>
  <c r="K13" i="8"/>
  <c r="J13" i="8"/>
  <c r="I13" i="8"/>
  <c r="H13" i="8"/>
  <c r="G13" i="8"/>
  <c r="F13" i="8"/>
  <c r="E13" i="8"/>
  <c r="D13" i="8"/>
  <c r="C13" i="8"/>
  <c r="M12" i="8"/>
  <c r="M16" i="8" s="1"/>
  <c r="L12" i="8"/>
  <c r="L16" i="8" s="1"/>
  <c r="K12" i="8"/>
  <c r="K16" i="8" s="1"/>
  <c r="J12" i="8"/>
  <c r="J16" i="8" s="1"/>
  <c r="I12" i="8"/>
  <c r="I16" i="8" s="1"/>
  <c r="H12" i="8"/>
  <c r="H16" i="8" s="1"/>
  <c r="G12" i="8"/>
  <c r="G16" i="8" s="1"/>
  <c r="F12" i="8"/>
  <c r="F16" i="8" s="1"/>
  <c r="E12" i="8"/>
  <c r="E16" i="8" s="1"/>
  <c r="D12" i="8"/>
  <c r="D16" i="8" s="1"/>
  <c r="C12" i="8"/>
  <c r="C16" i="8" s="1"/>
  <c r="C10" i="8"/>
  <c r="M7" i="8"/>
  <c r="L7" i="8"/>
  <c r="K7" i="8"/>
  <c r="J7" i="8"/>
  <c r="I7" i="8"/>
  <c r="H7" i="8"/>
  <c r="G7" i="8"/>
  <c r="F7" i="8"/>
  <c r="E7" i="8"/>
  <c r="D7" i="8"/>
  <c r="C7" i="8"/>
  <c r="M6" i="8"/>
  <c r="L6" i="8"/>
  <c r="K6" i="8"/>
  <c r="J6" i="8"/>
  <c r="I6" i="8"/>
  <c r="H6" i="8"/>
  <c r="G6" i="8"/>
  <c r="F6" i="8"/>
  <c r="E6" i="8"/>
  <c r="D6" i="8"/>
  <c r="C6" i="8"/>
  <c r="M18" i="7"/>
  <c r="L18" i="7"/>
  <c r="K18" i="7"/>
  <c r="J18" i="7"/>
  <c r="I18" i="7"/>
  <c r="H18" i="7"/>
  <c r="G18" i="7"/>
  <c r="F18" i="7"/>
  <c r="E18" i="7"/>
  <c r="D18" i="7"/>
  <c r="C18" i="7"/>
  <c r="M17" i="7"/>
  <c r="M21" i="21" s="1"/>
  <c r="L17" i="7"/>
  <c r="L21" i="21" s="1"/>
  <c r="K17" i="7"/>
  <c r="K21" i="21" s="1"/>
  <c r="J17" i="7"/>
  <c r="J21" i="21" s="1"/>
  <c r="I17" i="7"/>
  <c r="I21" i="21" s="1"/>
  <c r="H17" i="7"/>
  <c r="H21" i="21" s="1"/>
  <c r="G17" i="7"/>
  <c r="G21" i="21" s="1"/>
  <c r="F17" i="7"/>
  <c r="F21" i="21" s="1"/>
  <c r="E17" i="7"/>
  <c r="E21" i="21" s="1"/>
  <c r="D17" i="7"/>
  <c r="D21" i="21" s="1"/>
  <c r="C17" i="7"/>
  <c r="C21" i="21" s="1"/>
  <c r="M13" i="7"/>
  <c r="L13" i="7"/>
  <c r="K13" i="7"/>
  <c r="J13" i="7"/>
  <c r="I13" i="7"/>
  <c r="H13" i="7"/>
  <c r="G13" i="7"/>
  <c r="F13" i="7"/>
  <c r="E13" i="7"/>
  <c r="D13" i="7"/>
  <c r="C13" i="7"/>
  <c r="M12" i="7"/>
  <c r="L12" i="7"/>
  <c r="K12" i="7"/>
  <c r="J12" i="7"/>
  <c r="I12" i="7"/>
  <c r="H12" i="7"/>
  <c r="G12" i="7"/>
  <c r="F12" i="7"/>
  <c r="E12" i="7"/>
  <c r="D12" i="7"/>
  <c r="C12" i="7"/>
  <c r="M10" i="7"/>
  <c r="L10" i="7"/>
  <c r="K10" i="7"/>
  <c r="J10" i="7"/>
  <c r="I10" i="7"/>
  <c r="H10" i="7"/>
  <c r="G10" i="7"/>
  <c r="F10" i="7"/>
  <c r="E10" i="7"/>
  <c r="D10" i="7"/>
  <c r="C10" i="7"/>
  <c r="M7" i="7"/>
  <c r="L7" i="7"/>
  <c r="K7" i="7"/>
  <c r="J7" i="7"/>
  <c r="I7" i="7"/>
  <c r="H7" i="7"/>
  <c r="G7" i="7"/>
  <c r="F7" i="7"/>
  <c r="E7" i="7"/>
  <c r="D7" i="7"/>
  <c r="C7" i="7"/>
  <c r="M16" i="6"/>
  <c r="L16" i="6"/>
  <c r="K16" i="6"/>
  <c r="J16" i="6"/>
  <c r="I16" i="6"/>
  <c r="H16" i="6"/>
  <c r="G16" i="6"/>
  <c r="F16" i="6"/>
  <c r="E16" i="6"/>
  <c r="D16" i="6"/>
  <c r="C16" i="6"/>
  <c r="M15" i="6"/>
  <c r="L15" i="6"/>
  <c r="K15" i="6"/>
  <c r="J15" i="6"/>
  <c r="I15" i="6"/>
  <c r="H15" i="6"/>
  <c r="G15" i="6"/>
  <c r="F15" i="6"/>
  <c r="E15" i="6"/>
  <c r="D15" i="6"/>
  <c r="C15" i="6"/>
  <c r="M13" i="6"/>
  <c r="L13" i="6"/>
  <c r="K13" i="6"/>
  <c r="J13" i="6"/>
  <c r="I13" i="6"/>
  <c r="H13" i="6"/>
  <c r="G13" i="6"/>
  <c r="F13" i="6"/>
  <c r="E13" i="6"/>
  <c r="D13" i="6"/>
  <c r="C13" i="6"/>
  <c r="M7" i="6"/>
  <c r="M11" i="10" s="1"/>
  <c r="L7" i="6"/>
  <c r="L11" i="10" s="1"/>
  <c r="K7" i="6"/>
  <c r="K11" i="10" s="1"/>
  <c r="J7" i="6"/>
  <c r="J11" i="10" s="1"/>
  <c r="I7" i="6"/>
  <c r="I11" i="10" s="1"/>
  <c r="H7" i="6"/>
  <c r="H11" i="10" s="1"/>
  <c r="G7" i="6"/>
  <c r="G11" i="10" s="1"/>
  <c r="F7" i="6"/>
  <c r="F11" i="10" s="1"/>
  <c r="E7" i="6"/>
  <c r="E11" i="10" s="1"/>
  <c r="D7" i="6"/>
  <c r="D11" i="10" s="1"/>
  <c r="C7" i="6"/>
  <c r="C11" i="10" s="1"/>
  <c r="C5" i="6"/>
  <c r="C28" i="5"/>
  <c r="C20" i="5"/>
  <c r="M19" i="5"/>
  <c r="L19" i="5"/>
  <c r="K19" i="5"/>
  <c r="J19" i="5"/>
  <c r="I19" i="5"/>
  <c r="H19" i="5"/>
  <c r="G19" i="5"/>
  <c r="F19" i="5"/>
  <c r="E19" i="5"/>
  <c r="D19" i="5"/>
  <c r="C19" i="5"/>
  <c r="C18" i="5"/>
  <c r="C9" i="5"/>
  <c r="C6" i="5"/>
  <c r="D4" i="5"/>
  <c r="M20" i="4"/>
  <c r="L20" i="4"/>
  <c r="K20" i="4"/>
  <c r="J20" i="4"/>
  <c r="I20" i="4"/>
  <c r="H20" i="4"/>
  <c r="G20" i="4"/>
  <c r="F20" i="4"/>
  <c r="E20" i="4"/>
  <c r="D20" i="4"/>
  <c r="C20" i="4"/>
  <c r="D13" i="4"/>
  <c r="E13" i="4" s="1"/>
  <c r="F13" i="4" s="1"/>
  <c r="G13" i="4" s="1"/>
  <c r="H13" i="4" s="1"/>
  <c r="I13" i="4" s="1"/>
  <c r="J13" i="4" s="1"/>
  <c r="K13" i="4" s="1"/>
  <c r="L13" i="4" s="1"/>
  <c r="M13" i="4" s="1"/>
  <c r="C12" i="4"/>
  <c r="M11" i="4"/>
  <c r="L11" i="4"/>
  <c r="K11" i="4"/>
  <c r="J11" i="4"/>
  <c r="I11" i="4"/>
  <c r="H11" i="4"/>
  <c r="G11" i="4"/>
  <c r="F11" i="4"/>
  <c r="E11" i="4"/>
  <c r="D11" i="4"/>
  <c r="C11" i="4"/>
  <c r="C25" i="4" s="1"/>
  <c r="D6" i="4"/>
  <c r="E6" i="4" s="1"/>
  <c r="F6" i="4" s="1"/>
  <c r="G6" i="4" s="1"/>
  <c r="H6" i="4" s="1"/>
  <c r="I6" i="4" s="1"/>
  <c r="J6" i="4" s="1"/>
  <c r="K6" i="4" s="1"/>
  <c r="L6" i="4" s="1"/>
  <c r="M6" i="4" s="1"/>
  <c r="D5" i="4"/>
  <c r="E5" i="4" s="1"/>
  <c r="F5" i="4" s="1"/>
  <c r="G5" i="4" s="1"/>
  <c r="H5" i="4" s="1"/>
  <c r="I5" i="4" s="1"/>
  <c r="J5" i="4" s="1"/>
  <c r="K5" i="4" s="1"/>
  <c r="L5" i="4" s="1"/>
  <c r="M5" i="4" s="1"/>
  <c r="M4" i="4"/>
  <c r="L4" i="4"/>
  <c r="K4" i="4"/>
  <c r="J4" i="4"/>
  <c r="I4" i="4"/>
  <c r="H4" i="4"/>
  <c r="G4" i="4"/>
  <c r="F4" i="4"/>
  <c r="F7" i="4" s="1"/>
  <c r="E4" i="4"/>
  <c r="E7" i="4" s="1"/>
  <c r="D4" i="4"/>
  <c r="D7" i="4" s="1"/>
  <c r="C4" i="4"/>
  <c r="C7" i="4" s="1"/>
  <c r="M81" i="2"/>
  <c r="L81" i="2"/>
  <c r="K81" i="2"/>
  <c r="J81" i="2"/>
  <c r="I81" i="2"/>
  <c r="H81" i="2"/>
  <c r="G81" i="2"/>
  <c r="F81" i="2"/>
  <c r="E81" i="2"/>
  <c r="D81" i="2"/>
  <c r="C81" i="2"/>
  <c r="M70" i="2"/>
  <c r="L70" i="2"/>
  <c r="K70" i="2"/>
  <c r="J70" i="2"/>
  <c r="I70" i="2"/>
  <c r="H70" i="2"/>
  <c r="G70" i="2"/>
  <c r="F70" i="2"/>
  <c r="E70" i="2"/>
  <c r="D70" i="2"/>
  <c r="C70" i="2"/>
  <c r="C117" i="22" l="1"/>
  <c r="C118" i="22" s="1"/>
  <c r="C120" i="22"/>
  <c r="C119" i="22"/>
  <c r="G117" i="22"/>
  <c r="G118" i="22" s="1"/>
  <c r="F117" i="22"/>
  <c r="F118" i="22" s="1"/>
  <c r="E117" i="22"/>
  <c r="E118" i="22" s="1"/>
  <c r="D117" i="22"/>
  <c r="D118" i="22" s="1"/>
  <c r="C90" i="22"/>
  <c r="E52" i="22"/>
  <c r="D53" i="22"/>
  <c r="D54" i="22" s="1"/>
  <c r="D55" i="22" s="1"/>
  <c r="C54" i="22"/>
  <c r="D18" i="22"/>
  <c r="C22" i="22"/>
  <c r="C21" i="22"/>
  <c r="C20" i="22"/>
  <c r="D19" i="22"/>
  <c r="E19" i="22" s="1"/>
  <c r="C29" i="22"/>
  <c r="F133" i="22"/>
  <c r="F147" i="22"/>
  <c r="D7" i="12"/>
  <c r="D7" i="10"/>
  <c r="D34" i="20" s="1"/>
  <c r="D24" i="20"/>
  <c r="E9" i="19"/>
  <c r="D4" i="19"/>
  <c r="C11" i="20"/>
  <c r="C4" i="18"/>
  <c r="C7" i="17"/>
  <c r="C16" i="17"/>
  <c r="C23" i="16"/>
  <c r="C20" i="16"/>
  <c r="C4" i="21" s="1"/>
  <c r="C9" i="16"/>
  <c r="C21" i="16" s="1"/>
  <c r="C22" i="16" s="1"/>
  <c r="D7" i="16"/>
  <c r="E7" i="16" s="1"/>
  <c r="F7" i="16" s="1"/>
  <c r="G7" i="16" s="1"/>
  <c r="H7" i="16" s="1"/>
  <c r="I7" i="16" s="1"/>
  <c r="J7" i="16" s="1"/>
  <c r="K7" i="16" s="1"/>
  <c r="L7" i="16" s="1"/>
  <c r="M7" i="16" s="1"/>
  <c r="C15" i="15"/>
  <c r="C8" i="15"/>
  <c r="C9" i="15" s="1"/>
  <c r="C5" i="15"/>
  <c r="C11" i="15" s="1"/>
  <c r="L31" i="14"/>
  <c r="K31" i="14"/>
  <c r="J31" i="14"/>
  <c r="I31" i="14"/>
  <c r="H31" i="14"/>
  <c r="G31" i="14"/>
  <c r="F31" i="14"/>
  <c r="E31" i="14"/>
  <c r="D31" i="14"/>
  <c r="C31" i="14"/>
  <c r="C30" i="14"/>
  <c r="C29" i="14"/>
  <c r="C31" i="16"/>
  <c r="E13" i="14"/>
  <c r="M8" i="14"/>
  <c r="M9" i="14"/>
  <c r="C21" i="14"/>
  <c r="C19" i="14"/>
  <c r="D4" i="14"/>
  <c r="D30" i="14" s="1"/>
  <c r="D16" i="13"/>
  <c r="C18" i="13"/>
  <c r="E11" i="13"/>
  <c r="D13" i="13"/>
  <c r="E7" i="13"/>
  <c r="D14" i="14"/>
  <c r="F5" i="13"/>
  <c r="E12" i="16"/>
  <c r="E5" i="20"/>
  <c r="D8" i="13"/>
  <c r="D27" i="13"/>
  <c r="E4" i="13"/>
  <c r="C22" i="20"/>
  <c r="D5" i="10"/>
  <c r="F126" i="22"/>
  <c r="M17" i="9"/>
  <c r="C37" i="20"/>
  <c r="D9" i="9"/>
  <c r="M17" i="8"/>
  <c r="M22" i="21" s="1"/>
  <c r="M7" i="11"/>
  <c r="L7" i="11"/>
  <c r="L17" i="8"/>
  <c r="L22" i="21" s="1"/>
  <c r="K17" i="8"/>
  <c r="K22" i="21" s="1"/>
  <c r="K7" i="11"/>
  <c r="J7" i="11"/>
  <c r="J17" i="8"/>
  <c r="J22" i="21" s="1"/>
  <c r="I17" i="8"/>
  <c r="I22" i="21" s="1"/>
  <c r="I7" i="11"/>
  <c r="H17" i="8"/>
  <c r="H22" i="21" s="1"/>
  <c r="H7" i="11"/>
  <c r="G17" i="8"/>
  <c r="G22" i="21" s="1"/>
  <c r="G7" i="11"/>
  <c r="F17" i="8"/>
  <c r="F22" i="21" s="1"/>
  <c r="F7" i="11"/>
  <c r="E17" i="8"/>
  <c r="E22" i="21" s="1"/>
  <c r="E7" i="11"/>
  <c r="D7" i="11"/>
  <c r="D17" i="8"/>
  <c r="D22" i="21" s="1"/>
  <c r="C17" i="8"/>
  <c r="C22" i="21" s="1"/>
  <c r="C7" i="11"/>
  <c r="C6" i="9"/>
  <c r="F143" i="22"/>
  <c r="M16" i="7"/>
  <c r="M21" i="7"/>
  <c r="M22" i="7" s="1"/>
  <c r="L16" i="7"/>
  <c r="L21" i="7"/>
  <c r="L22" i="7" s="1"/>
  <c r="K16" i="7"/>
  <c r="K21" i="7"/>
  <c r="K22" i="7" s="1"/>
  <c r="J21" i="7"/>
  <c r="J22" i="7" s="1"/>
  <c r="J16" i="7"/>
  <c r="I21" i="7"/>
  <c r="I22" i="7" s="1"/>
  <c r="I16" i="7"/>
  <c r="H16" i="7"/>
  <c r="H21" i="7"/>
  <c r="H22" i="7" s="1"/>
  <c r="G21" i="7"/>
  <c r="G22" i="7" s="1"/>
  <c r="G16" i="7"/>
  <c r="F21" i="7"/>
  <c r="F22" i="7" s="1"/>
  <c r="F16" i="7"/>
  <c r="E21" i="7"/>
  <c r="E22" i="7" s="1"/>
  <c r="E16" i="7"/>
  <c r="D16" i="7"/>
  <c r="D21" i="7"/>
  <c r="D22" i="7" s="1"/>
  <c r="C16" i="7"/>
  <c r="C21" i="7"/>
  <c r="C22" i="7" s="1"/>
  <c r="M14" i="10"/>
  <c r="M21" i="20"/>
  <c r="L14" i="10"/>
  <c r="L21" i="20"/>
  <c r="K14" i="10"/>
  <c r="K21" i="20"/>
  <c r="J14" i="10"/>
  <c r="J21" i="20"/>
  <c r="I14" i="10"/>
  <c r="I21" i="20"/>
  <c r="H14" i="10"/>
  <c r="H21" i="20"/>
  <c r="G14" i="10"/>
  <c r="G21" i="20"/>
  <c r="F14" i="10"/>
  <c r="F21" i="20"/>
  <c r="E14" i="10"/>
  <c r="E21" i="20"/>
  <c r="D14" i="10"/>
  <c r="D21" i="20"/>
  <c r="C14" i="10"/>
  <c r="C21" i="20"/>
  <c r="C35" i="20"/>
  <c r="D6" i="5"/>
  <c r="E4" i="5"/>
  <c r="C23" i="4"/>
  <c r="L7" i="4"/>
  <c r="C18" i="6"/>
  <c r="C20" i="20" s="1"/>
  <c r="M7" i="4"/>
  <c r="K7" i="4"/>
  <c r="J7" i="4"/>
  <c r="I7" i="4"/>
  <c r="H7" i="4"/>
  <c r="G7" i="4"/>
  <c r="C91" i="22" l="1"/>
  <c r="F52" i="22"/>
  <c r="E53" i="22"/>
  <c r="C55" i="22"/>
  <c r="E18" i="22"/>
  <c r="D20" i="22"/>
  <c r="D21" i="22"/>
  <c r="D22" i="22"/>
  <c r="D23" i="22" s="1"/>
  <c r="D24" i="22" s="1"/>
  <c r="C23" i="22"/>
  <c r="F9" i="19"/>
  <c r="E7" i="10"/>
  <c r="E7" i="12"/>
  <c r="E4" i="19"/>
  <c r="D9" i="5"/>
  <c r="C6" i="18"/>
  <c r="C7" i="18"/>
  <c r="C13" i="18"/>
  <c r="C14" i="18"/>
  <c r="C9" i="20"/>
  <c r="C41" i="20"/>
  <c r="C91" i="2"/>
  <c r="C38" i="21" s="1"/>
  <c r="C10" i="4"/>
  <c r="C10" i="5"/>
  <c r="C5" i="9"/>
  <c r="C6" i="10"/>
  <c r="C8" i="21"/>
  <c r="C50" i="21"/>
  <c r="C15" i="20"/>
  <c r="C28" i="20"/>
  <c r="F13" i="14"/>
  <c r="C73" i="22"/>
  <c r="D85" i="22" s="1"/>
  <c r="M5" i="16"/>
  <c r="M14" i="16"/>
  <c r="M12" i="20"/>
  <c r="C20" i="14"/>
  <c r="C22" i="14"/>
  <c r="C6" i="21"/>
  <c r="E4" i="14"/>
  <c r="D19" i="14"/>
  <c r="D21" i="14"/>
  <c r="D4" i="16"/>
  <c r="D13" i="16"/>
  <c r="D35" i="16"/>
  <c r="D36" i="16" s="1"/>
  <c r="D37" i="16" s="1"/>
  <c r="E16" i="13"/>
  <c r="D18" i="13"/>
  <c r="F11" i="13"/>
  <c r="E13" i="13"/>
  <c r="F7" i="13"/>
  <c r="E14" i="14"/>
  <c r="G5" i="13"/>
  <c r="F12" i="16"/>
  <c r="F5" i="20"/>
  <c r="F4" i="13"/>
  <c r="E8" i="13"/>
  <c r="E27" i="13"/>
  <c r="D112" i="22"/>
  <c r="E5" i="10"/>
  <c r="D14" i="9"/>
  <c r="D15" i="9" s="1"/>
  <c r="D22" i="20"/>
  <c r="D8" i="9"/>
  <c r="E9" i="9"/>
  <c r="D10" i="8"/>
  <c r="D37" i="20"/>
  <c r="D5" i="6"/>
  <c r="E6" i="5"/>
  <c r="F4" i="5"/>
  <c r="C21" i="6"/>
  <c r="C20" i="6"/>
  <c r="C20" i="21" s="1"/>
  <c r="C23" i="6"/>
  <c r="C24" i="21" s="1"/>
  <c r="D10" i="20"/>
  <c r="D28" i="14"/>
  <c r="G52" i="22" l="1"/>
  <c r="G53" i="22" s="1"/>
  <c r="G54" i="22" s="1"/>
  <c r="G55" i="22" s="1"/>
  <c r="F53" i="22"/>
  <c r="E54" i="22"/>
  <c r="F19" i="22"/>
  <c r="G19" i="22" s="1"/>
  <c r="H19" i="22" s="1"/>
  <c r="F18" i="22"/>
  <c r="E20" i="22"/>
  <c r="E21" i="22"/>
  <c r="E22" i="22"/>
  <c r="C24" i="22"/>
  <c r="G9" i="19"/>
  <c r="F7" i="10"/>
  <c r="F7" i="12"/>
  <c r="F4" i="19"/>
  <c r="E9" i="5"/>
  <c r="C17" i="18"/>
  <c r="C18" i="18"/>
  <c r="C10" i="21"/>
  <c r="C14" i="4"/>
  <c r="C17" i="4" s="1"/>
  <c r="C24" i="4" s="1"/>
  <c r="C11" i="5"/>
  <c r="C16" i="9"/>
  <c r="C24" i="9"/>
  <c r="C10" i="9"/>
  <c r="C26" i="9" s="1"/>
  <c r="C29" i="20"/>
  <c r="C14" i="5"/>
  <c r="C42" i="21"/>
  <c r="C9" i="10"/>
  <c r="C15" i="5"/>
  <c r="G13" i="14"/>
  <c r="H85" i="22"/>
  <c r="D86" i="22"/>
  <c r="H86" i="22" s="1"/>
  <c r="M6" i="17"/>
  <c r="M13" i="20"/>
  <c r="E30" i="14"/>
  <c r="F4" i="14"/>
  <c r="E19" i="14"/>
  <c r="E21" i="14"/>
  <c r="E13" i="16"/>
  <c r="E35" i="16"/>
  <c r="E36" i="16" s="1"/>
  <c r="E37" i="16" s="1"/>
  <c r="D20" i="14"/>
  <c r="D22" i="14"/>
  <c r="D6" i="21"/>
  <c r="E4" i="16"/>
  <c r="D9" i="16"/>
  <c r="D21" i="16" s="1"/>
  <c r="D22" i="16" s="1"/>
  <c r="D20" i="16"/>
  <c r="D4" i="21" s="1"/>
  <c r="D23" i="16"/>
  <c r="D5" i="17"/>
  <c r="D10" i="17"/>
  <c r="D13" i="17"/>
  <c r="D16" i="17"/>
  <c r="D7" i="20"/>
  <c r="F16" i="13"/>
  <c r="E18" i="13"/>
  <c r="G11" i="13"/>
  <c r="F13" i="13"/>
  <c r="G7" i="13"/>
  <c r="F14" i="14"/>
  <c r="H5" i="13"/>
  <c r="G12" i="16"/>
  <c r="G5" i="20"/>
  <c r="G4" i="13"/>
  <c r="F8" i="13"/>
  <c r="F27" i="13"/>
  <c r="D119" i="22"/>
  <c r="D120" i="22"/>
  <c r="F5" i="10"/>
  <c r="E8" i="9"/>
  <c r="E14" i="9"/>
  <c r="D20" i="20"/>
  <c r="D17" i="6"/>
  <c r="D18" i="6" s="1"/>
  <c r="E10" i="8"/>
  <c r="E37" i="20" s="1"/>
  <c r="F9" i="9"/>
  <c r="E5" i="6"/>
  <c r="D35" i="20"/>
  <c r="G4" i="5"/>
  <c r="F6" i="5"/>
  <c r="D31" i="16"/>
  <c r="D29" i="14"/>
  <c r="D32" i="16"/>
  <c r="D33" i="16" s="1"/>
  <c r="C17" i="20"/>
  <c r="E24" i="20"/>
  <c r="E34" i="20"/>
  <c r="E15" i="16"/>
  <c r="D6" i="20"/>
  <c r="E10" i="20"/>
  <c r="E28" i="14"/>
  <c r="H54" i="22" l="1"/>
  <c r="E55" i="22"/>
  <c r="H55" i="22" s="1"/>
  <c r="C59" i="22" s="1"/>
  <c r="G18" i="22"/>
  <c r="F20" i="22"/>
  <c r="F21" i="22"/>
  <c r="F22" i="22"/>
  <c r="F23" i="22" s="1"/>
  <c r="F24" i="22" s="1"/>
  <c r="E23" i="22"/>
  <c r="F142" i="22"/>
  <c r="G7" i="10"/>
  <c r="G34" i="20" s="1"/>
  <c r="G7" i="12"/>
  <c r="H9" i="19"/>
  <c r="G24" i="20"/>
  <c r="G4" i="19"/>
  <c r="F9" i="5"/>
  <c r="C19" i="9"/>
  <c r="C26" i="16"/>
  <c r="C27" i="16" s="1"/>
  <c r="C27" i="21"/>
  <c r="C22" i="9"/>
  <c r="C18" i="9"/>
  <c r="C43" i="21"/>
  <c r="C59" i="21"/>
  <c r="C18" i="10"/>
  <c r="C17" i="10"/>
  <c r="C25" i="21" s="1"/>
  <c r="C16" i="10"/>
  <c r="C15" i="10"/>
  <c r="C31" i="20" s="1"/>
  <c r="H13" i="14"/>
  <c r="M5" i="18"/>
  <c r="M14" i="20"/>
  <c r="F30" i="14"/>
  <c r="G4" i="14"/>
  <c r="F19" i="14"/>
  <c r="F21" i="14"/>
  <c r="F13" i="16"/>
  <c r="F35" i="16"/>
  <c r="F36" i="16" s="1"/>
  <c r="F37" i="16" s="1"/>
  <c r="E20" i="14"/>
  <c r="E22" i="14"/>
  <c r="E6" i="21"/>
  <c r="F4" i="16"/>
  <c r="E9" i="16"/>
  <c r="E21" i="16" s="1"/>
  <c r="E22" i="16" s="1"/>
  <c r="E20" i="16"/>
  <c r="E4" i="21" s="1"/>
  <c r="E23" i="16"/>
  <c r="E5" i="17"/>
  <c r="E16" i="17" s="1"/>
  <c r="E10" i="17"/>
  <c r="E7" i="20" s="1"/>
  <c r="E13" i="17"/>
  <c r="D7" i="17"/>
  <c r="D4" i="18"/>
  <c r="D10" i="18"/>
  <c r="D8" i="20" s="1"/>
  <c r="D12" i="4"/>
  <c r="D4" i="15"/>
  <c r="D8" i="21"/>
  <c r="D50" i="21"/>
  <c r="G16" i="13"/>
  <c r="F18" i="13"/>
  <c r="H11" i="13"/>
  <c r="G13" i="13"/>
  <c r="H7" i="13"/>
  <c r="G14" i="14"/>
  <c r="I5" i="13"/>
  <c r="H12" i="16"/>
  <c r="H5" i="20"/>
  <c r="H4" i="13"/>
  <c r="G8" i="13"/>
  <c r="G27" i="13"/>
  <c r="E112" i="22"/>
  <c r="G5" i="10"/>
  <c r="F14" i="9"/>
  <c r="F15" i="9" s="1"/>
  <c r="F22" i="20"/>
  <c r="F8" i="9"/>
  <c r="D20" i="6"/>
  <c r="D20" i="21" s="1"/>
  <c r="D23" i="6"/>
  <c r="D24" i="21" s="1"/>
  <c r="D21" i="6"/>
  <c r="F5" i="6"/>
  <c r="G9" i="9"/>
  <c r="F10" i="8"/>
  <c r="F37" i="20" s="1"/>
  <c r="E35" i="20"/>
  <c r="G6" i="5"/>
  <c r="H4" i="5"/>
  <c r="E31" i="16"/>
  <c r="E29" i="14"/>
  <c r="E32" i="16"/>
  <c r="E33" i="16" s="1"/>
  <c r="F54" i="22"/>
  <c r="F55" i="22" s="1"/>
  <c r="H53" i="22"/>
  <c r="F24" i="20"/>
  <c r="F34" i="20"/>
  <c r="F15" i="16"/>
  <c r="E6" i="20"/>
  <c r="F10" i="20"/>
  <c r="F28" i="14"/>
  <c r="E15" i="9"/>
  <c r="E22" i="20"/>
  <c r="G20" i="22" l="1"/>
  <c r="H20" i="22" s="1"/>
  <c r="G21" i="22"/>
  <c r="H21" i="22" s="1"/>
  <c r="G22" i="22"/>
  <c r="E24" i="22"/>
  <c r="I9" i="19"/>
  <c r="H34" i="20"/>
  <c r="H7" i="10"/>
  <c r="H24" i="20" s="1"/>
  <c r="H7" i="12"/>
  <c r="H4" i="19"/>
  <c r="G9" i="5"/>
  <c r="C20" i="9"/>
  <c r="C38" i="20"/>
  <c r="C44" i="21"/>
  <c r="C45" i="21"/>
  <c r="C46" i="21"/>
  <c r="C47" i="21"/>
  <c r="C53" i="21"/>
  <c r="C54" i="21" s="1"/>
  <c r="C20" i="19" s="1"/>
  <c r="C55" i="21"/>
  <c r="C56" i="21"/>
  <c r="C52" i="20" s="1"/>
  <c r="I13" i="14"/>
  <c r="H28" i="14"/>
  <c r="G30" i="14"/>
  <c r="H4" i="14"/>
  <c r="G19" i="14"/>
  <c r="G21" i="14"/>
  <c r="G13" i="16"/>
  <c r="H15" i="16" s="1"/>
  <c r="G35" i="16"/>
  <c r="G36" i="16" s="1"/>
  <c r="G37" i="16" s="1"/>
  <c r="G6" i="20"/>
  <c r="F20" i="14"/>
  <c r="F22" i="14"/>
  <c r="F6" i="21"/>
  <c r="G4" i="16"/>
  <c r="F9" i="16"/>
  <c r="F21" i="16" s="1"/>
  <c r="F22" i="16" s="1"/>
  <c r="F20" i="16"/>
  <c r="F4" i="21" s="1"/>
  <c r="F23" i="16"/>
  <c r="F5" i="17"/>
  <c r="F10" i="17"/>
  <c r="F13" i="17"/>
  <c r="F16" i="17"/>
  <c r="F7" i="20"/>
  <c r="E7" i="17"/>
  <c r="E4" i="18"/>
  <c r="E10" i="18"/>
  <c r="E8" i="20"/>
  <c r="E12" i="4"/>
  <c r="E4" i="15"/>
  <c r="E8" i="21"/>
  <c r="E50" i="21"/>
  <c r="D6" i="9"/>
  <c r="D6" i="18"/>
  <c r="D7" i="18"/>
  <c r="D9" i="20"/>
  <c r="D13" i="18"/>
  <c r="D14" i="18"/>
  <c r="D41" i="20"/>
  <c r="D10" i="4"/>
  <c r="D91" i="2"/>
  <c r="D38" i="21" s="1"/>
  <c r="D10" i="5"/>
  <c r="D6" i="10"/>
  <c r="D5" i="9"/>
  <c r="D23" i="4"/>
  <c r="D25" i="4"/>
  <c r="D15" i="15"/>
  <c r="D28" i="5"/>
  <c r="D5" i="15"/>
  <c r="D8" i="15"/>
  <c r="D9" i="15" s="1"/>
  <c r="H16" i="13"/>
  <c r="G18" i="13"/>
  <c r="I11" i="13"/>
  <c r="H13" i="13"/>
  <c r="I7" i="13"/>
  <c r="H14" i="14"/>
  <c r="H10" i="20" s="1"/>
  <c r="J5" i="13"/>
  <c r="I12" i="16"/>
  <c r="I5" i="20"/>
  <c r="I4" i="13"/>
  <c r="H8" i="13"/>
  <c r="H27" i="13"/>
  <c r="E119" i="22"/>
  <c r="E120" i="22"/>
  <c r="H5" i="10"/>
  <c r="G8" i="9"/>
  <c r="G14" i="9"/>
  <c r="F17" i="6"/>
  <c r="F18" i="6" s="1"/>
  <c r="F20" i="20" s="1"/>
  <c r="F35" i="20"/>
  <c r="H9" i="9"/>
  <c r="G10" i="8"/>
  <c r="G37" i="20"/>
  <c r="G5" i="6"/>
  <c r="I4" i="5"/>
  <c r="H6" i="5"/>
  <c r="C58" i="22"/>
  <c r="C60" i="22"/>
  <c r="F31" i="16"/>
  <c r="F29" i="14"/>
  <c r="F32" i="16"/>
  <c r="F33" i="16" s="1"/>
  <c r="E17" i="6"/>
  <c r="E18" i="6" s="1"/>
  <c r="E20" i="20"/>
  <c r="G15" i="16"/>
  <c r="F6" i="20"/>
  <c r="G10" i="20"/>
  <c r="G28" i="14"/>
  <c r="H22" i="22" l="1"/>
  <c r="G23" i="22"/>
  <c r="I7" i="10"/>
  <c r="I34" i="20" s="1"/>
  <c r="I7" i="12"/>
  <c r="J9" i="19"/>
  <c r="I24" i="20"/>
  <c r="I4" i="19"/>
  <c r="H9" i="5"/>
  <c r="C15" i="18"/>
  <c r="C48" i="21"/>
  <c r="C20" i="10"/>
  <c r="C50" i="20" s="1"/>
  <c r="C6" i="19"/>
  <c r="J13" i="14"/>
  <c r="I28" i="14"/>
  <c r="H32" i="16"/>
  <c r="H33" i="16" s="1"/>
  <c r="H29" i="14"/>
  <c r="H31" i="16"/>
  <c r="H30" i="14"/>
  <c r="I4" i="14"/>
  <c r="H19" i="14"/>
  <c r="H21" i="14"/>
  <c r="H13" i="16"/>
  <c r="I15" i="16" s="1"/>
  <c r="H35" i="16"/>
  <c r="H36" i="16" s="1"/>
  <c r="H37" i="16" s="1"/>
  <c r="H6" i="20"/>
  <c r="G20" i="14"/>
  <c r="G22" i="14"/>
  <c r="G6" i="21"/>
  <c r="H4" i="16"/>
  <c r="G9" i="16"/>
  <c r="G21" i="16" s="1"/>
  <c r="G22" i="16" s="1"/>
  <c r="G20" i="16"/>
  <c r="G4" i="21" s="1"/>
  <c r="G23" i="16"/>
  <c r="G5" i="17"/>
  <c r="G10" i="17"/>
  <c r="G13" i="17"/>
  <c r="G16" i="17"/>
  <c r="G7" i="20"/>
  <c r="F7" i="17"/>
  <c r="F4" i="18"/>
  <c r="F10" i="18"/>
  <c r="F8" i="20" s="1"/>
  <c r="F12" i="4"/>
  <c r="F4" i="15"/>
  <c r="F8" i="21"/>
  <c r="F50" i="21"/>
  <c r="E6" i="9"/>
  <c r="E6" i="18"/>
  <c r="E7" i="18"/>
  <c r="E10" i="4"/>
  <c r="E13" i="18"/>
  <c r="E14" i="18"/>
  <c r="E9" i="20"/>
  <c r="E41" i="20"/>
  <c r="E91" i="2"/>
  <c r="E38" i="21" s="1"/>
  <c r="E10" i="5"/>
  <c r="E5" i="9"/>
  <c r="E6" i="10"/>
  <c r="E23" i="4"/>
  <c r="E25" i="4"/>
  <c r="E15" i="15"/>
  <c r="E28" i="5"/>
  <c r="E5" i="15"/>
  <c r="E8" i="15"/>
  <c r="E9" i="15" s="1"/>
  <c r="D17" i="18"/>
  <c r="D18" i="18"/>
  <c r="D10" i="21"/>
  <c r="D14" i="4"/>
  <c r="D17" i="4" s="1"/>
  <c r="D24" i="4" s="1"/>
  <c r="D11" i="5"/>
  <c r="D9" i="10"/>
  <c r="D15" i="5"/>
  <c r="D29" i="20"/>
  <c r="D14" i="5"/>
  <c r="D42" i="21"/>
  <c r="D10" i="9"/>
  <c r="D26" i="9" s="1"/>
  <c r="D16" i="9"/>
  <c r="D24" i="9"/>
  <c r="I16" i="13"/>
  <c r="H18" i="13"/>
  <c r="J11" i="13"/>
  <c r="I13" i="13"/>
  <c r="J7" i="13"/>
  <c r="I14" i="14"/>
  <c r="I10" i="20" s="1"/>
  <c r="K5" i="13"/>
  <c r="J12" i="16"/>
  <c r="J5" i="20"/>
  <c r="J4" i="13"/>
  <c r="I8" i="13"/>
  <c r="I27" i="13"/>
  <c r="F112" i="22"/>
  <c r="I5" i="10"/>
  <c r="H14" i="9"/>
  <c r="H15" i="9" s="1"/>
  <c r="H22" i="20"/>
  <c r="H8" i="9"/>
  <c r="F23" i="6"/>
  <c r="F24" i="21" s="1"/>
  <c r="F20" i="6"/>
  <c r="F20" i="21" s="1"/>
  <c r="F21" i="6"/>
  <c r="H10" i="8"/>
  <c r="I9" i="9"/>
  <c r="H5" i="6"/>
  <c r="H37" i="20"/>
  <c r="G35" i="20"/>
  <c r="I6" i="5"/>
  <c r="J4" i="5"/>
  <c r="B105" i="22"/>
  <c r="G105" i="22" s="1"/>
  <c r="E21" i="6"/>
  <c r="E23" i="6"/>
  <c r="E24" i="21" s="1"/>
  <c r="E20" i="6"/>
  <c r="E20" i="21" s="1"/>
  <c r="G31" i="16"/>
  <c r="G29" i="14"/>
  <c r="G32" i="16"/>
  <c r="G33" i="16" s="1"/>
  <c r="D11" i="15"/>
  <c r="D30" i="20"/>
  <c r="G15" i="9"/>
  <c r="G22" i="20"/>
  <c r="C27" i="22" l="1"/>
  <c r="C30" i="22"/>
  <c r="H23" i="22"/>
  <c r="G24" i="22"/>
  <c r="H24" i="22" s="1"/>
  <c r="C28" i="22" s="1"/>
  <c r="K9" i="19"/>
  <c r="J34" i="20"/>
  <c r="J7" i="10"/>
  <c r="J24" i="20" s="1"/>
  <c r="J7" i="12"/>
  <c r="I9" i="5"/>
  <c r="J4" i="19"/>
  <c r="C14" i="19"/>
  <c r="C14" i="21" s="1"/>
  <c r="C15" i="19"/>
  <c r="K13" i="14"/>
  <c r="J28" i="14"/>
  <c r="I32" i="16"/>
  <c r="I33" i="16" s="1"/>
  <c r="I29" i="14"/>
  <c r="I31" i="16"/>
  <c r="I30" i="14"/>
  <c r="J4" i="14"/>
  <c r="I19" i="14"/>
  <c r="I21" i="14"/>
  <c r="I13" i="16"/>
  <c r="J15" i="16" s="1"/>
  <c r="I35" i="16"/>
  <c r="I36" i="16" s="1"/>
  <c r="I37" i="16" s="1"/>
  <c r="I6" i="20"/>
  <c r="H20" i="14"/>
  <c r="H22" i="14"/>
  <c r="H6" i="21"/>
  <c r="I4" i="16"/>
  <c r="H9" i="16"/>
  <c r="H21" i="16" s="1"/>
  <c r="H22" i="16" s="1"/>
  <c r="H20" i="16"/>
  <c r="H4" i="21" s="1"/>
  <c r="H23" i="16"/>
  <c r="H5" i="17"/>
  <c r="H10" i="17"/>
  <c r="H13" i="17"/>
  <c r="H16" i="17"/>
  <c r="H7" i="20"/>
  <c r="G7" i="17"/>
  <c r="G4" i="18"/>
  <c r="G10" i="18"/>
  <c r="G8" i="20"/>
  <c r="G12" i="4"/>
  <c r="G4" i="15"/>
  <c r="G8" i="21"/>
  <c r="G50" i="21"/>
  <c r="F6" i="9"/>
  <c r="F6" i="18"/>
  <c r="F7" i="18"/>
  <c r="F13" i="18"/>
  <c r="F14" i="18" s="1"/>
  <c r="F9" i="20"/>
  <c r="F41" i="20"/>
  <c r="F10" i="5"/>
  <c r="F10" i="4"/>
  <c r="F6" i="10"/>
  <c r="F91" i="2"/>
  <c r="F38" i="21" s="1"/>
  <c r="F5" i="9"/>
  <c r="F23" i="4"/>
  <c r="F25" i="4"/>
  <c r="F28" i="5"/>
  <c r="F15" i="15"/>
  <c r="F5" i="15"/>
  <c r="F8" i="15"/>
  <c r="F9" i="15" s="1"/>
  <c r="E14" i="4"/>
  <c r="E17" i="4" s="1"/>
  <c r="E24" i="4" s="1"/>
  <c r="E11" i="5"/>
  <c r="E17" i="18"/>
  <c r="E18" i="18"/>
  <c r="E10" i="21"/>
  <c r="E24" i="9"/>
  <c r="E10" i="9"/>
  <c r="E26" i="9" s="1"/>
  <c r="E16" i="9"/>
  <c r="E29" i="20"/>
  <c r="E42" i="21"/>
  <c r="E14" i="5"/>
  <c r="E9" i="10"/>
  <c r="E15" i="5"/>
  <c r="D18" i="10"/>
  <c r="D17" i="10"/>
  <c r="D25" i="21" s="1"/>
  <c r="D16" i="10"/>
  <c r="D15" i="10"/>
  <c r="D31" i="20" s="1"/>
  <c r="D43" i="21"/>
  <c r="D59" i="21"/>
  <c r="D26" i="16"/>
  <c r="D27" i="16" s="1"/>
  <c r="D19" i="9"/>
  <c r="D27" i="21"/>
  <c r="D18" i="9"/>
  <c r="D22" i="9"/>
  <c r="J16" i="13"/>
  <c r="I18" i="13"/>
  <c r="K11" i="13"/>
  <c r="J13" i="13"/>
  <c r="K7" i="13"/>
  <c r="J14" i="14"/>
  <c r="J10" i="20" s="1"/>
  <c r="L5" i="13"/>
  <c r="K12" i="16"/>
  <c r="K5" i="20"/>
  <c r="K4" i="13"/>
  <c r="J8" i="13"/>
  <c r="J27" i="13"/>
  <c r="F119" i="22"/>
  <c r="F120" i="22"/>
  <c r="J5" i="10"/>
  <c r="I8" i="9"/>
  <c r="I14" i="9"/>
  <c r="H17" i="6"/>
  <c r="H18" i="6" s="1"/>
  <c r="H20" i="20" s="1"/>
  <c r="J9" i="9"/>
  <c r="I5" i="6"/>
  <c r="I10" i="8"/>
  <c r="I37" i="20" s="1"/>
  <c r="H35" i="20"/>
  <c r="K4" i="5"/>
  <c r="J6" i="5"/>
  <c r="D28" i="20"/>
  <c r="D15" i="20"/>
  <c r="D17" i="20" s="1"/>
  <c r="G17" i="6"/>
  <c r="G18" i="6" s="1"/>
  <c r="G20" i="20"/>
  <c r="E11" i="15"/>
  <c r="E30" i="20"/>
  <c r="B104" i="22" l="1"/>
  <c r="G104" i="22" s="1"/>
  <c r="L9" i="19"/>
  <c r="K7" i="10"/>
  <c r="K34" i="20" s="1"/>
  <c r="K7" i="12"/>
  <c r="K24" i="20"/>
  <c r="K4" i="19"/>
  <c r="J9" i="5"/>
  <c r="C39" i="21"/>
  <c r="C12" i="21"/>
  <c r="C49" i="21"/>
  <c r="L13" i="14"/>
  <c r="J32" i="16"/>
  <c r="J33" i="16" s="1"/>
  <c r="J29" i="14"/>
  <c r="J31" i="16"/>
  <c r="J30" i="14"/>
  <c r="K4" i="14"/>
  <c r="J19" i="14"/>
  <c r="J21" i="14"/>
  <c r="J13" i="16"/>
  <c r="K15" i="16" s="1"/>
  <c r="J35" i="16"/>
  <c r="J36" i="16" s="1"/>
  <c r="J37" i="16" s="1"/>
  <c r="J6" i="20"/>
  <c r="I20" i="14"/>
  <c r="I22" i="14"/>
  <c r="I6" i="21"/>
  <c r="J4" i="16"/>
  <c r="I9" i="16"/>
  <c r="I21" i="16" s="1"/>
  <c r="I22" i="16" s="1"/>
  <c r="I20" i="16"/>
  <c r="I4" i="21" s="1"/>
  <c r="I23" i="16"/>
  <c r="I5" i="17"/>
  <c r="I16" i="17" s="1"/>
  <c r="I10" i="17"/>
  <c r="I7" i="20" s="1"/>
  <c r="I13" i="17"/>
  <c r="H7" i="17"/>
  <c r="H4" i="18"/>
  <c r="H10" i="18"/>
  <c r="H8" i="20"/>
  <c r="H12" i="4"/>
  <c r="H4" i="15"/>
  <c r="H8" i="21"/>
  <c r="H50" i="21"/>
  <c r="G6" i="9"/>
  <c r="G6" i="18"/>
  <c r="G7" i="18"/>
  <c r="G91" i="2"/>
  <c r="G38" i="21" s="1"/>
  <c r="G9" i="20"/>
  <c r="G10" i="4"/>
  <c r="G30" i="20" s="1"/>
  <c r="G13" i="18"/>
  <c r="G14" i="18"/>
  <c r="G41" i="20"/>
  <c r="G10" i="5"/>
  <c r="G5" i="9"/>
  <c r="G6" i="10"/>
  <c r="G23" i="4"/>
  <c r="G25" i="4"/>
  <c r="G15" i="15"/>
  <c r="G28" i="5"/>
  <c r="G5" i="15"/>
  <c r="G8" i="15"/>
  <c r="G9" i="15" s="1"/>
  <c r="F17" i="18"/>
  <c r="F18" i="18"/>
  <c r="F10" i="21"/>
  <c r="F14" i="4"/>
  <c r="F17" i="4" s="1"/>
  <c r="F24" i="4" s="1"/>
  <c r="F11" i="5"/>
  <c r="F9" i="10"/>
  <c r="F15" i="5"/>
  <c r="F29" i="20"/>
  <c r="F14" i="5"/>
  <c r="F42" i="21"/>
  <c r="F10" i="9"/>
  <c r="F26" i="9" s="1"/>
  <c r="F16" i="9"/>
  <c r="F24" i="9"/>
  <c r="E26" i="16"/>
  <c r="E27" i="16" s="1"/>
  <c r="E27" i="21"/>
  <c r="E18" i="9"/>
  <c r="E22" i="9"/>
  <c r="E19" i="9" s="1"/>
  <c r="E43" i="21"/>
  <c r="E59" i="21"/>
  <c r="E18" i="10"/>
  <c r="E17" i="10"/>
  <c r="E25" i="21" s="1"/>
  <c r="E16" i="10"/>
  <c r="E15" i="10"/>
  <c r="E31" i="20" s="1"/>
  <c r="D44" i="21"/>
  <c r="D45" i="21"/>
  <c r="D46" i="21"/>
  <c r="D47" i="21"/>
  <c r="D53" i="21"/>
  <c r="D54" i="21" s="1"/>
  <c r="D20" i="19" s="1"/>
  <c r="D55" i="21"/>
  <c r="D56" i="21" s="1"/>
  <c r="D52" i="20" s="1"/>
  <c r="D20" i="9"/>
  <c r="D38" i="20"/>
  <c r="K16" i="13"/>
  <c r="J18" i="13"/>
  <c r="L11" i="13"/>
  <c r="K13" i="13"/>
  <c r="L7" i="13"/>
  <c r="K14" i="14"/>
  <c r="M5" i="13"/>
  <c r="L12" i="16"/>
  <c r="L5" i="20"/>
  <c r="L4" i="13"/>
  <c r="K8" i="13"/>
  <c r="K27" i="13"/>
  <c r="K29" i="13"/>
  <c r="G112" i="22"/>
  <c r="K5" i="10"/>
  <c r="J8" i="9"/>
  <c r="J14" i="9"/>
  <c r="H21" i="6"/>
  <c r="H20" i="6"/>
  <c r="H20" i="21" s="1"/>
  <c r="H23" i="6"/>
  <c r="H24" i="21" s="1"/>
  <c r="J5" i="6"/>
  <c r="K9" i="9"/>
  <c r="J10" i="8"/>
  <c r="J37" i="20" s="1"/>
  <c r="I35" i="20"/>
  <c r="L4" i="5"/>
  <c r="K6" i="5"/>
  <c r="G23" i="6"/>
  <c r="G24" i="21" s="1"/>
  <c r="G21" i="6"/>
  <c r="G20" i="6"/>
  <c r="G20" i="21" s="1"/>
  <c r="E28" i="20"/>
  <c r="E15" i="20"/>
  <c r="E17" i="20" s="1"/>
  <c r="F11" i="15"/>
  <c r="F30" i="20"/>
  <c r="I15" i="9"/>
  <c r="I22" i="20"/>
  <c r="L7" i="10" l="1"/>
  <c r="L34" i="20" s="1"/>
  <c r="L7" i="12"/>
  <c r="M9" i="19"/>
  <c r="L24" i="20"/>
  <c r="L4" i="19"/>
  <c r="K9" i="5"/>
  <c r="M13" i="14"/>
  <c r="L28" i="14"/>
  <c r="K30" i="14"/>
  <c r="L4" i="14"/>
  <c r="K19" i="14"/>
  <c r="K21" i="14"/>
  <c r="K13" i="16"/>
  <c r="L15" i="16" s="1"/>
  <c r="K35" i="16"/>
  <c r="K36" i="16" s="1"/>
  <c r="K37" i="16" s="1"/>
  <c r="K6" i="20"/>
  <c r="J20" i="14"/>
  <c r="J22" i="14"/>
  <c r="J6" i="21"/>
  <c r="K4" i="16"/>
  <c r="J9" i="16"/>
  <c r="J21" i="16" s="1"/>
  <c r="J22" i="16" s="1"/>
  <c r="J20" i="16"/>
  <c r="J4" i="21" s="1"/>
  <c r="J23" i="16"/>
  <c r="J5" i="17"/>
  <c r="J10" i="17"/>
  <c r="J13" i="17"/>
  <c r="J16" i="17"/>
  <c r="J7" i="20"/>
  <c r="I7" i="17"/>
  <c r="I4" i="18"/>
  <c r="I10" i="18"/>
  <c r="I8" i="20" s="1"/>
  <c r="I12" i="4"/>
  <c r="I4" i="15"/>
  <c r="I8" i="21"/>
  <c r="I50" i="21"/>
  <c r="H6" i="9"/>
  <c r="H6" i="18"/>
  <c r="H7" i="18" s="1"/>
  <c r="H10" i="5"/>
  <c r="H13" i="18"/>
  <c r="H14" i="18" s="1"/>
  <c r="H9" i="20"/>
  <c r="H41" i="20"/>
  <c r="H91" i="2"/>
  <c r="H38" i="21" s="1"/>
  <c r="H10" i="4"/>
  <c r="H6" i="10"/>
  <c r="H5" i="9"/>
  <c r="H23" i="4"/>
  <c r="H25" i="4"/>
  <c r="H15" i="15"/>
  <c r="H28" i="5"/>
  <c r="H5" i="15"/>
  <c r="H8" i="15"/>
  <c r="H9" i="15" s="1"/>
  <c r="G11" i="5"/>
  <c r="G14" i="4"/>
  <c r="G17" i="4" s="1"/>
  <c r="G24" i="4" s="1"/>
  <c r="G17" i="18"/>
  <c r="G18" i="18"/>
  <c r="G10" i="21"/>
  <c r="G24" i="9"/>
  <c r="G10" i="9"/>
  <c r="G26" i="9" s="1"/>
  <c r="G16" i="9"/>
  <c r="G29" i="20"/>
  <c r="G42" i="21"/>
  <c r="G14" i="5"/>
  <c r="G9" i="10"/>
  <c r="G15" i="5"/>
  <c r="F18" i="10"/>
  <c r="F17" i="10"/>
  <c r="F25" i="21" s="1"/>
  <c r="F16" i="10"/>
  <c r="F15" i="10"/>
  <c r="F31" i="20" s="1"/>
  <c r="F43" i="21"/>
  <c r="F59" i="21"/>
  <c r="F26" i="16"/>
  <c r="F27" i="16" s="1"/>
  <c r="F27" i="21"/>
  <c r="F18" i="9"/>
  <c r="F22" i="9"/>
  <c r="F19" i="9" s="1"/>
  <c r="E20" i="9"/>
  <c r="E38" i="20"/>
  <c r="E44" i="21"/>
  <c r="E45" i="21"/>
  <c r="E46" i="21"/>
  <c r="E47" i="21"/>
  <c r="E53" i="21"/>
  <c r="E54" i="21" s="1"/>
  <c r="E20" i="19" s="1"/>
  <c r="E55" i="21"/>
  <c r="E56" i="21" s="1"/>
  <c r="E52" i="20" s="1"/>
  <c r="D48" i="21"/>
  <c r="D15" i="18"/>
  <c r="D6" i="19"/>
  <c r="D20" i="10"/>
  <c r="D50" i="20" s="1"/>
  <c r="L16" i="13"/>
  <c r="K18" i="13"/>
  <c r="M11" i="13"/>
  <c r="M13" i="13" s="1"/>
  <c r="L13" i="13"/>
  <c r="M7" i="13"/>
  <c r="M14" i="14" s="1"/>
  <c r="M10" i="20" s="1"/>
  <c r="L14" i="14"/>
  <c r="L10" i="20" s="1"/>
  <c r="M12" i="16"/>
  <c r="M5" i="20"/>
  <c r="M4" i="13"/>
  <c r="L8" i="13"/>
  <c r="L27" i="13"/>
  <c r="L29" i="13"/>
  <c r="G119" i="22"/>
  <c r="G120" i="22"/>
  <c r="L5" i="10"/>
  <c r="K8" i="9"/>
  <c r="K14" i="9"/>
  <c r="J35" i="20"/>
  <c r="K10" i="8"/>
  <c r="L9" i="9"/>
  <c r="K5" i="6"/>
  <c r="K37" i="20"/>
  <c r="M4" i="5"/>
  <c r="M6" i="5" s="1"/>
  <c r="L6" i="5"/>
  <c r="F28" i="20"/>
  <c r="F15" i="20"/>
  <c r="F17" i="20" s="1"/>
  <c r="I17" i="6"/>
  <c r="I18" i="6" s="1"/>
  <c r="I20" i="20"/>
  <c r="G11" i="15"/>
  <c r="K10" i="20"/>
  <c r="K28" i="14"/>
  <c r="J15" i="9"/>
  <c r="J22" i="20"/>
  <c r="M7" i="10" l="1"/>
  <c r="M7" i="12"/>
  <c r="L9" i="5"/>
  <c r="M4" i="19"/>
  <c r="M9" i="5" s="1"/>
  <c r="M28" i="14"/>
  <c r="C72" i="22"/>
  <c r="L32" i="16"/>
  <c r="L33" i="16" s="1"/>
  <c r="L29" i="14"/>
  <c r="L31" i="16"/>
  <c r="L30" i="14"/>
  <c r="M4" i="14"/>
  <c r="L19" i="14"/>
  <c r="L21" i="14"/>
  <c r="L13" i="16"/>
  <c r="M15" i="16" s="1"/>
  <c r="L35" i="16"/>
  <c r="L36" i="16" s="1"/>
  <c r="L37" i="16" s="1"/>
  <c r="L6" i="20"/>
  <c r="K20" i="14"/>
  <c r="K22" i="14"/>
  <c r="K6" i="21"/>
  <c r="L4" i="16"/>
  <c r="K9" i="16"/>
  <c r="K21" i="16" s="1"/>
  <c r="K22" i="16" s="1"/>
  <c r="K20" i="16"/>
  <c r="K4" i="21" s="1"/>
  <c r="K23" i="16"/>
  <c r="K5" i="17"/>
  <c r="K10" i="17"/>
  <c r="K13" i="17"/>
  <c r="K16" i="17"/>
  <c r="K7" i="20"/>
  <c r="J7" i="17"/>
  <c r="J4" i="18"/>
  <c r="J10" i="18"/>
  <c r="J8" i="20"/>
  <c r="J12" i="4"/>
  <c r="J4" i="15"/>
  <c r="J8" i="21"/>
  <c r="J50" i="21"/>
  <c r="I6" i="9"/>
  <c r="I6" i="18"/>
  <c r="I7" i="18" s="1"/>
  <c r="I10" i="4"/>
  <c r="I10" i="5"/>
  <c r="I30" i="20"/>
  <c r="I13" i="18"/>
  <c r="I14" i="18" s="1"/>
  <c r="I9" i="20"/>
  <c r="I41" i="20"/>
  <c r="I91" i="2"/>
  <c r="I38" i="21" s="1"/>
  <c r="I5" i="9"/>
  <c r="I6" i="10"/>
  <c r="I23" i="4"/>
  <c r="I25" i="4"/>
  <c r="I15" i="15"/>
  <c r="I28" i="5"/>
  <c r="I5" i="15"/>
  <c r="I8" i="15"/>
  <c r="I9" i="15" s="1"/>
  <c r="H17" i="18"/>
  <c r="H18" i="18"/>
  <c r="H10" i="21"/>
  <c r="H11" i="5"/>
  <c r="H14" i="4"/>
  <c r="H17" i="4" s="1"/>
  <c r="H24" i="4" s="1"/>
  <c r="H9" i="10"/>
  <c r="H15" i="5"/>
  <c r="H29" i="20"/>
  <c r="H14" i="5"/>
  <c r="H42" i="21"/>
  <c r="H10" i="9"/>
  <c r="H26" i="9" s="1"/>
  <c r="H16" i="9"/>
  <c r="H24" i="9"/>
  <c r="G26" i="16"/>
  <c r="G27" i="16" s="1"/>
  <c r="G27" i="21"/>
  <c r="G18" i="9"/>
  <c r="G22" i="9"/>
  <c r="G19" i="9" s="1"/>
  <c r="G43" i="21"/>
  <c r="G59" i="21"/>
  <c r="G31" i="20"/>
  <c r="G18" i="10"/>
  <c r="G17" i="10"/>
  <c r="G25" i="21" s="1"/>
  <c r="G16" i="10"/>
  <c r="G15" i="10"/>
  <c r="F44" i="21"/>
  <c r="F45" i="21"/>
  <c r="F46" i="21"/>
  <c r="F47" i="21"/>
  <c r="F53" i="21"/>
  <c r="F54" i="21" s="1"/>
  <c r="F20" i="19" s="1"/>
  <c r="F55" i="21"/>
  <c r="F56" i="21"/>
  <c r="F52" i="20" s="1"/>
  <c r="F20" i="9"/>
  <c r="F38" i="20"/>
  <c r="E48" i="21"/>
  <c r="E15" i="18"/>
  <c r="E20" i="10"/>
  <c r="E50" i="20" s="1"/>
  <c r="E6" i="19"/>
  <c r="D14" i="19"/>
  <c r="D14" i="21" s="1"/>
  <c r="D15" i="19"/>
  <c r="M16" i="13"/>
  <c r="M18" i="13" s="1"/>
  <c r="L18" i="13"/>
  <c r="M8" i="13"/>
  <c r="M27" i="13"/>
  <c r="M29" i="13"/>
  <c r="M5" i="10"/>
  <c r="L8" i="9"/>
  <c r="L14" i="9"/>
  <c r="L15" i="9" s="1"/>
  <c r="L22" i="20"/>
  <c r="L5" i="6"/>
  <c r="M9" i="9"/>
  <c r="L10" i="8"/>
  <c r="L37" i="20" s="1"/>
  <c r="K35" i="20"/>
  <c r="I23" i="6"/>
  <c r="I24" i="21" s="1"/>
  <c r="I21" i="6"/>
  <c r="I20" i="6"/>
  <c r="I20" i="21" s="1"/>
  <c r="G28" i="20"/>
  <c r="G15" i="20"/>
  <c r="G17" i="20" s="1"/>
  <c r="K31" i="16"/>
  <c r="K29" i="14"/>
  <c r="K32" i="16"/>
  <c r="K33" i="16" s="1"/>
  <c r="J17" i="6"/>
  <c r="J18" i="6" s="1"/>
  <c r="J20" i="20" s="1"/>
  <c r="H11" i="15"/>
  <c r="H30" i="20"/>
  <c r="K15" i="9"/>
  <c r="K22" i="20"/>
  <c r="M32" i="16" l="1"/>
  <c r="M33" i="16" s="1"/>
  <c r="M29" i="14"/>
  <c r="M31" i="16"/>
  <c r="M30" i="14"/>
  <c r="M19" i="14"/>
  <c r="M21" i="14"/>
  <c r="M13" i="16"/>
  <c r="M35" i="16"/>
  <c r="M36" i="16" s="1"/>
  <c r="M37" i="16" s="1"/>
  <c r="M6" i="20"/>
  <c r="C71" i="22"/>
  <c r="E87" i="22"/>
  <c r="L20" i="14"/>
  <c r="L22" i="14"/>
  <c r="L6" i="21"/>
  <c r="M4" i="16"/>
  <c r="L9" i="16"/>
  <c r="L21" i="16" s="1"/>
  <c r="L22" i="16" s="1"/>
  <c r="L20" i="16"/>
  <c r="L4" i="21" s="1"/>
  <c r="L23" i="16"/>
  <c r="L5" i="17"/>
  <c r="L10" i="17"/>
  <c r="L13" i="17"/>
  <c r="L16" i="17"/>
  <c r="L7" i="20"/>
  <c r="K7" i="17"/>
  <c r="K4" i="18"/>
  <c r="K10" i="18"/>
  <c r="K8" i="20" s="1"/>
  <c r="K12" i="4"/>
  <c r="K4" i="15"/>
  <c r="K8" i="21"/>
  <c r="K50" i="21"/>
  <c r="J6" i="9"/>
  <c r="J6" i="18"/>
  <c r="J7" i="18"/>
  <c r="J10" i="4"/>
  <c r="J30" i="20" s="1"/>
  <c r="J10" i="5"/>
  <c r="J13" i="18"/>
  <c r="J14" i="18"/>
  <c r="J9" i="20"/>
  <c r="J41" i="20"/>
  <c r="J91" i="2"/>
  <c r="J38" i="21" s="1"/>
  <c r="J6" i="10"/>
  <c r="J5" i="9"/>
  <c r="J23" i="4"/>
  <c r="J25" i="4"/>
  <c r="J15" i="15"/>
  <c r="J28" i="5"/>
  <c r="J5" i="15"/>
  <c r="J8" i="15"/>
  <c r="J9" i="15" s="1"/>
  <c r="I14" i="4"/>
  <c r="I17" i="4" s="1"/>
  <c r="I24" i="4" s="1"/>
  <c r="I11" i="5"/>
  <c r="I17" i="18"/>
  <c r="I10" i="21"/>
  <c r="I18" i="18"/>
  <c r="I24" i="9"/>
  <c r="I10" i="9"/>
  <c r="I26" i="9" s="1"/>
  <c r="I16" i="9"/>
  <c r="I29" i="20"/>
  <c r="I14" i="5"/>
  <c r="I42" i="21"/>
  <c r="I9" i="10"/>
  <c r="I15" i="5"/>
  <c r="H18" i="10"/>
  <c r="H17" i="10"/>
  <c r="H25" i="21" s="1"/>
  <c r="H16" i="10"/>
  <c r="H15" i="10"/>
  <c r="H31" i="20" s="1"/>
  <c r="H43" i="21"/>
  <c r="H59" i="21"/>
  <c r="H26" i="16"/>
  <c r="H27" i="16" s="1"/>
  <c r="H27" i="21"/>
  <c r="H18" i="9"/>
  <c r="H22" i="9"/>
  <c r="H19" i="9" s="1"/>
  <c r="G20" i="9"/>
  <c r="G38" i="20"/>
  <c r="G44" i="21"/>
  <c r="G45" i="21"/>
  <c r="G46" i="21"/>
  <c r="G47" i="21"/>
  <c r="G53" i="21"/>
  <c r="G54" i="21" s="1"/>
  <c r="G20" i="19" s="1"/>
  <c r="G55" i="21"/>
  <c r="G56" i="21" s="1"/>
  <c r="G52" i="20" s="1"/>
  <c r="F48" i="21"/>
  <c r="F15" i="18"/>
  <c r="F20" i="10"/>
  <c r="F50" i="20" s="1"/>
  <c r="F6" i="19"/>
  <c r="E15" i="19"/>
  <c r="E14" i="19"/>
  <c r="E14" i="21" s="1"/>
  <c r="D39" i="21"/>
  <c r="D12" i="21"/>
  <c r="D49" i="21"/>
  <c r="M8" i="9"/>
  <c r="M14" i="9"/>
  <c r="L17" i="6"/>
  <c r="L18" i="6" s="1"/>
  <c r="L20" i="20" s="1"/>
  <c r="L35" i="20"/>
  <c r="M30" i="9"/>
  <c r="M10" i="8"/>
  <c r="M5" i="6"/>
  <c r="M37" i="20"/>
  <c r="J23" i="6"/>
  <c r="J24" i="21" s="1"/>
  <c r="J21" i="6"/>
  <c r="J20" i="6"/>
  <c r="J20" i="21" s="1"/>
  <c r="H28" i="20"/>
  <c r="H15" i="20"/>
  <c r="H17" i="20" s="1"/>
  <c r="K17" i="6"/>
  <c r="K18" i="6" s="1"/>
  <c r="K20" i="20"/>
  <c r="I11" i="15"/>
  <c r="M24" i="20"/>
  <c r="M34" i="20"/>
  <c r="M20" i="14" l="1"/>
  <c r="M22" i="14"/>
  <c r="M6" i="21"/>
  <c r="C70" i="22"/>
  <c r="H87" i="22"/>
  <c r="M9" i="16"/>
  <c r="M21" i="16" s="1"/>
  <c r="M22" i="16" s="1"/>
  <c r="M20" i="16"/>
  <c r="M23" i="16"/>
  <c r="M5" i="17"/>
  <c r="M10" i="17"/>
  <c r="M13" i="17"/>
  <c r="M16" i="17"/>
  <c r="M7" i="20"/>
  <c r="L7" i="17"/>
  <c r="L4" i="18"/>
  <c r="L10" i="18"/>
  <c r="L8" i="20" s="1"/>
  <c r="L12" i="4"/>
  <c r="L4" i="15"/>
  <c r="L8" i="21"/>
  <c r="L50" i="21"/>
  <c r="K6" i="9"/>
  <c r="K6" i="18"/>
  <c r="K7" i="18"/>
  <c r="K13" i="18"/>
  <c r="K14" i="18"/>
  <c r="K9" i="20"/>
  <c r="K41" i="20"/>
  <c r="K91" i="2"/>
  <c r="K38" i="21" s="1"/>
  <c r="K10" i="5"/>
  <c r="K5" i="9"/>
  <c r="K6" i="10"/>
  <c r="K10" i="4"/>
  <c r="K23" i="4"/>
  <c r="K25" i="4"/>
  <c r="K15" i="15"/>
  <c r="K28" i="5"/>
  <c r="K5" i="15"/>
  <c r="K8" i="15"/>
  <c r="K9" i="15" s="1"/>
  <c r="J11" i="5"/>
  <c r="J14" i="4"/>
  <c r="J17" i="4" s="1"/>
  <c r="J24" i="4" s="1"/>
  <c r="J17" i="18"/>
  <c r="J18" i="18"/>
  <c r="J10" i="21"/>
  <c r="J9" i="10"/>
  <c r="J15" i="5"/>
  <c r="J29" i="20"/>
  <c r="J42" i="21"/>
  <c r="J14" i="5"/>
  <c r="J10" i="9"/>
  <c r="J26" i="9" s="1"/>
  <c r="J16" i="9"/>
  <c r="J24" i="9"/>
  <c r="I26" i="16"/>
  <c r="I27" i="16" s="1"/>
  <c r="I27" i="21"/>
  <c r="I18" i="9"/>
  <c r="I22" i="9"/>
  <c r="I19" i="9" s="1"/>
  <c r="I43" i="21"/>
  <c r="I59" i="21"/>
  <c r="I31" i="20"/>
  <c r="I18" i="10"/>
  <c r="I17" i="10"/>
  <c r="I25" i="21" s="1"/>
  <c r="I16" i="10"/>
  <c r="I15" i="10"/>
  <c r="H44" i="21"/>
  <c r="H45" i="21"/>
  <c r="H46" i="21"/>
  <c r="H47" i="21"/>
  <c r="H53" i="21"/>
  <c r="H54" i="21" s="1"/>
  <c r="H20" i="19" s="1"/>
  <c r="H55" i="21"/>
  <c r="H56" i="21"/>
  <c r="H52" i="20" s="1"/>
  <c r="H20" i="9"/>
  <c r="H38" i="20"/>
  <c r="G48" i="21"/>
  <c r="G15" i="18"/>
  <c r="G20" i="10"/>
  <c r="G50" i="20" s="1"/>
  <c r="G6" i="19"/>
  <c r="F15" i="19"/>
  <c r="F14" i="19"/>
  <c r="F14" i="21" s="1"/>
  <c r="E39" i="21"/>
  <c r="E12" i="21"/>
  <c r="E49" i="21"/>
  <c r="L20" i="6"/>
  <c r="L20" i="21" s="1"/>
  <c r="L23" i="6"/>
  <c r="L24" i="21" s="1"/>
  <c r="L21" i="6"/>
  <c r="F131" i="22"/>
  <c r="F145" i="22"/>
  <c r="M35" i="20"/>
  <c r="K23" i="6"/>
  <c r="K24" i="21" s="1"/>
  <c r="K21" i="6"/>
  <c r="K20" i="6"/>
  <c r="K20" i="21" s="1"/>
  <c r="I28" i="20"/>
  <c r="I15" i="20"/>
  <c r="I17" i="20" s="1"/>
  <c r="J11" i="15"/>
  <c r="M15" i="9"/>
  <c r="M22" i="20"/>
  <c r="C83" i="22" l="1"/>
  <c r="C84" i="22" s="1"/>
  <c r="D83" i="22"/>
  <c r="D84" i="22" s="1"/>
  <c r="E83" i="22"/>
  <c r="E84" i="22" s="1"/>
  <c r="F83" i="22"/>
  <c r="F84" i="22" s="1"/>
  <c r="G83" i="22"/>
  <c r="G84" i="22" s="1"/>
  <c r="M4" i="21"/>
  <c r="F140" i="22"/>
  <c r="M7" i="17"/>
  <c r="M4" i="18"/>
  <c r="M10" i="18"/>
  <c r="M8" i="20"/>
  <c r="M12" i="4"/>
  <c r="M4" i="15"/>
  <c r="M8" i="21"/>
  <c r="M50" i="21"/>
  <c r="L6" i="9"/>
  <c r="L6" i="18"/>
  <c r="L7" i="18"/>
  <c r="L13" i="18"/>
  <c r="L14" i="18"/>
  <c r="M21" i="18"/>
  <c r="F130" i="22" s="1"/>
  <c r="L9" i="20"/>
  <c r="L41" i="20"/>
  <c r="L91" i="2"/>
  <c r="L38" i="21" s="1"/>
  <c r="L10" i="4"/>
  <c r="L6" i="10"/>
  <c r="L10" i="5"/>
  <c r="L5" i="9"/>
  <c r="L23" i="4"/>
  <c r="L25" i="4"/>
  <c r="L15" i="15"/>
  <c r="L28" i="5"/>
  <c r="L5" i="15"/>
  <c r="L8" i="15"/>
  <c r="L9" i="15" s="1"/>
  <c r="K17" i="18"/>
  <c r="K18" i="18"/>
  <c r="K10" i="21"/>
  <c r="K16" i="9"/>
  <c r="K24" i="9"/>
  <c r="K10" i="9"/>
  <c r="K26" i="9" s="1"/>
  <c r="K29" i="20"/>
  <c r="K14" i="5"/>
  <c r="K42" i="21"/>
  <c r="K9" i="10"/>
  <c r="K15" i="5"/>
  <c r="K11" i="5"/>
  <c r="K58" i="21"/>
  <c r="K21" i="19" s="1"/>
  <c r="K51" i="20" s="1"/>
  <c r="K14" i="4"/>
  <c r="K17" i="4" s="1"/>
  <c r="K24" i="4" s="1"/>
  <c r="J18" i="10"/>
  <c r="J17" i="10"/>
  <c r="J25" i="21" s="1"/>
  <c r="J16" i="10"/>
  <c r="J15" i="10"/>
  <c r="J31" i="20" s="1"/>
  <c r="J43" i="21"/>
  <c r="J59" i="21"/>
  <c r="J26" i="16"/>
  <c r="J27" i="16" s="1"/>
  <c r="J27" i="21"/>
  <c r="J18" i="9"/>
  <c r="J22" i="9"/>
  <c r="J19" i="9" s="1"/>
  <c r="I20" i="9"/>
  <c r="I38" i="20"/>
  <c r="I44" i="21"/>
  <c r="I45" i="21"/>
  <c r="I46" i="21"/>
  <c r="I47" i="21"/>
  <c r="I53" i="21"/>
  <c r="I54" i="21" s="1"/>
  <c r="I20" i="19" s="1"/>
  <c r="I55" i="21"/>
  <c r="I56" i="21" s="1"/>
  <c r="I52" i="20" s="1"/>
  <c r="H48" i="21"/>
  <c r="H15" i="18"/>
  <c r="H20" i="10"/>
  <c r="H50" i="20" s="1"/>
  <c r="H6" i="19"/>
  <c r="G14" i="19"/>
  <c r="G14" i="21" s="1"/>
  <c r="G15" i="19"/>
  <c r="F39" i="21"/>
  <c r="F12" i="21"/>
  <c r="F49" i="21"/>
  <c r="J28" i="20"/>
  <c r="J15" i="20"/>
  <c r="J17" i="20" s="1"/>
  <c r="M17" i="6"/>
  <c r="M18" i="6" s="1"/>
  <c r="M20" i="20"/>
  <c r="K11" i="15"/>
  <c r="K30" i="20"/>
  <c r="M6" i="9" l="1"/>
  <c r="M6" i="18"/>
  <c r="M7" i="18"/>
  <c r="M13" i="18"/>
  <c r="M14" i="18"/>
  <c r="M9" i="20"/>
  <c r="M41" i="20"/>
  <c r="M10" i="4"/>
  <c r="M91" i="2"/>
  <c r="M38" i="21" s="1"/>
  <c r="M10" i="5"/>
  <c r="M5" i="9"/>
  <c r="M6" i="10"/>
  <c r="M23" i="4"/>
  <c r="M25" i="4"/>
  <c r="M15" i="15"/>
  <c r="M28" i="5"/>
  <c r="M5" i="15"/>
  <c r="M8" i="15"/>
  <c r="M9" i="15" s="1"/>
  <c r="L17" i="18"/>
  <c r="L18" i="18"/>
  <c r="L10" i="21"/>
  <c r="L11" i="5"/>
  <c r="L14" i="4"/>
  <c r="L17" i="4" s="1"/>
  <c r="L24" i="4" s="1"/>
  <c r="L58" i="21"/>
  <c r="L21" i="19" s="1"/>
  <c r="L51" i="20" s="1"/>
  <c r="L9" i="10"/>
  <c r="L15" i="5"/>
  <c r="L16" i="9"/>
  <c r="L29" i="20"/>
  <c r="L42" i="21"/>
  <c r="L10" i="9"/>
  <c r="L26" i="9" s="1"/>
  <c r="L24" i="9"/>
  <c r="M28" i="9"/>
  <c r="L14" i="5"/>
  <c r="C31" i="22"/>
  <c r="C61" i="22"/>
  <c r="K26" i="16"/>
  <c r="K27" i="16" s="1"/>
  <c r="K27" i="21"/>
  <c r="K22" i="9"/>
  <c r="K19" i="9" s="1"/>
  <c r="K18" i="9"/>
  <c r="K43" i="21"/>
  <c r="K59" i="21"/>
  <c r="K18" i="10"/>
  <c r="K17" i="10"/>
  <c r="K25" i="21" s="1"/>
  <c r="K16" i="10"/>
  <c r="K15" i="10"/>
  <c r="K31" i="20" s="1"/>
  <c r="J44" i="21"/>
  <c r="J45" i="21"/>
  <c r="J46" i="21"/>
  <c r="J47" i="21"/>
  <c r="J53" i="21"/>
  <c r="J54" i="21" s="1"/>
  <c r="J20" i="19" s="1"/>
  <c r="J55" i="21"/>
  <c r="J56" i="21" s="1"/>
  <c r="J52" i="20" s="1"/>
  <c r="J20" i="9"/>
  <c r="J38" i="20"/>
  <c r="I15" i="18"/>
  <c r="I48" i="21"/>
  <c r="I20" i="10"/>
  <c r="I50" i="20" s="1"/>
  <c r="I6" i="19"/>
  <c r="H14" i="19"/>
  <c r="H14" i="21" s="1"/>
  <c r="H15" i="19"/>
  <c r="G39" i="21"/>
  <c r="G12" i="21"/>
  <c r="G49" i="21"/>
  <c r="M21" i="6"/>
  <c r="M23" i="6"/>
  <c r="M24" i="21" s="1"/>
  <c r="M20" i="6"/>
  <c r="M20" i="21" s="1"/>
  <c r="K28" i="20"/>
  <c r="K15" i="20"/>
  <c r="K17" i="20" s="1"/>
  <c r="L11" i="15"/>
  <c r="L30" i="20"/>
  <c r="M17" i="18" l="1"/>
  <c r="M10" i="21"/>
  <c r="C98" i="22" s="1"/>
  <c r="C76" i="22"/>
  <c r="C77" i="22"/>
  <c r="M18" i="18"/>
  <c r="M58" i="21"/>
  <c r="M21" i="19" s="1"/>
  <c r="M51" i="20" s="1"/>
  <c r="M14" i="4"/>
  <c r="M17" i="4" s="1"/>
  <c r="M24" i="4" s="1"/>
  <c r="M11" i="5"/>
  <c r="M16" i="9"/>
  <c r="M24" i="9"/>
  <c r="M10" i="9"/>
  <c r="M26" i="9" s="1"/>
  <c r="M29" i="20"/>
  <c r="M14" i="5"/>
  <c r="M42" i="21"/>
  <c r="M9" i="10"/>
  <c r="M15" i="5"/>
  <c r="L31" i="20"/>
  <c r="L18" i="10"/>
  <c r="L17" i="10"/>
  <c r="L25" i="21" s="1"/>
  <c r="L16" i="10"/>
  <c r="L15" i="10"/>
  <c r="L26" i="16"/>
  <c r="L27" i="16" s="1"/>
  <c r="L27" i="21"/>
  <c r="L18" i="9"/>
  <c r="L22" i="9"/>
  <c r="L19" i="9" s="1"/>
  <c r="L43" i="21"/>
  <c r="L59" i="21"/>
  <c r="M31" i="9"/>
  <c r="F129" i="22"/>
  <c r="K20" i="9"/>
  <c r="K38" i="20"/>
  <c r="K44" i="21"/>
  <c r="K45" i="21"/>
  <c r="K46" i="21"/>
  <c r="K47" i="21"/>
  <c r="K53" i="21"/>
  <c r="K54" i="21" s="1"/>
  <c r="K20" i="19" s="1"/>
  <c r="K55" i="21"/>
  <c r="K56" i="21"/>
  <c r="K52" i="20" s="1"/>
  <c r="J48" i="21"/>
  <c r="J15" i="18"/>
  <c r="J20" i="10"/>
  <c r="J50" i="20" s="1"/>
  <c r="J6" i="19"/>
  <c r="I14" i="19"/>
  <c r="I14" i="21" s="1"/>
  <c r="I15" i="19"/>
  <c r="H39" i="21"/>
  <c r="H12" i="21"/>
  <c r="H49" i="21"/>
  <c r="L28" i="20"/>
  <c r="L15" i="20"/>
  <c r="L17" i="20" s="1"/>
  <c r="M11" i="15"/>
  <c r="M30" i="20"/>
  <c r="E89" i="22" l="1"/>
  <c r="F89" i="22"/>
  <c r="F90" i="22" s="1"/>
  <c r="F91" i="22" s="1"/>
  <c r="G89" i="22"/>
  <c r="G90" i="22" s="1"/>
  <c r="G91" i="22" s="1"/>
  <c r="M26" i="16"/>
  <c r="M27" i="16" s="1"/>
  <c r="M27" i="21"/>
  <c r="M18" i="9"/>
  <c r="M22" i="9"/>
  <c r="M43" i="21"/>
  <c r="M59" i="21"/>
  <c r="M18" i="10"/>
  <c r="M17" i="10"/>
  <c r="M25" i="21" s="1"/>
  <c r="M16" i="10"/>
  <c r="M15" i="10"/>
  <c r="M31" i="20" s="1"/>
  <c r="L20" i="9"/>
  <c r="L38" i="20"/>
  <c r="L44" i="21"/>
  <c r="L45" i="21"/>
  <c r="L46" i="21"/>
  <c r="L47" i="21"/>
  <c r="L53" i="21"/>
  <c r="L54" i="21" s="1"/>
  <c r="L20" i="19" s="1"/>
  <c r="L55" i="21"/>
  <c r="L56" i="21"/>
  <c r="L52" i="20" s="1"/>
  <c r="F132" i="22"/>
  <c r="F146" i="22"/>
  <c r="K48" i="21"/>
  <c r="K15" i="18"/>
  <c r="K20" i="10"/>
  <c r="K50" i="20" s="1"/>
  <c r="K6" i="19"/>
  <c r="J15" i="19"/>
  <c r="J14" i="19"/>
  <c r="J14" i="21" s="1"/>
  <c r="I39" i="21"/>
  <c r="I12" i="21"/>
  <c r="I49" i="21"/>
  <c r="M28" i="20"/>
  <c r="M15" i="20"/>
  <c r="M17" i="20" s="1"/>
  <c r="E90" i="22" l="1"/>
  <c r="H89" i="22"/>
  <c r="C94" i="22" s="1"/>
  <c r="M20" i="9"/>
  <c r="M38" i="20"/>
  <c r="F128" i="22"/>
  <c r="M44" i="21"/>
  <c r="M45" i="21"/>
  <c r="M46" i="21"/>
  <c r="M47" i="21"/>
  <c r="M53" i="21"/>
  <c r="M54" i="21" s="1"/>
  <c r="M20" i="19" s="1"/>
  <c r="M55" i="21"/>
  <c r="M56" i="21"/>
  <c r="M52" i="20" s="1"/>
  <c r="L48" i="21"/>
  <c r="L15" i="18"/>
  <c r="L20" i="10"/>
  <c r="L50" i="20" s="1"/>
  <c r="L6" i="19"/>
  <c r="K14" i="19"/>
  <c r="K14" i="21" s="1"/>
  <c r="K15" i="19"/>
  <c r="J39" i="21"/>
  <c r="J12" i="21"/>
  <c r="J49" i="21"/>
  <c r="F127" i="22"/>
  <c r="M19" i="9"/>
  <c r="F141" i="22" s="1"/>
  <c r="H90" i="22" l="1"/>
  <c r="C97" i="22" s="1"/>
  <c r="E91" i="22"/>
  <c r="H91" i="22" s="1"/>
  <c r="C95" i="22" s="1"/>
  <c r="M48" i="21"/>
  <c r="M15" i="18"/>
  <c r="M20" i="10"/>
  <c r="M50" i="20" s="1"/>
  <c r="M6" i="19"/>
  <c r="L14" i="19"/>
  <c r="L14" i="21" s="1"/>
  <c r="L15" i="19"/>
  <c r="K39" i="21"/>
  <c r="K12" i="21"/>
  <c r="C104" i="22" s="1"/>
  <c r="K49" i="21"/>
  <c r="C99" i="22" l="1"/>
  <c r="B106" i="22"/>
  <c r="G106" i="22" s="1"/>
  <c r="E101" i="22"/>
  <c r="C101" i="22"/>
  <c r="M15" i="19"/>
  <c r="M14" i="19"/>
  <c r="M14" i="21" s="1"/>
  <c r="L39" i="21"/>
  <c r="L12" i="21"/>
  <c r="L49" i="21"/>
  <c r="C62" i="22" l="1"/>
  <c r="C32" i="22"/>
  <c r="M39" i="21"/>
  <c r="F144" i="22" s="1"/>
  <c r="D104" i="22"/>
  <c r="I104" i="22" s="1"/>
  <c r="C105" i="22" s="1"/>
  <c r="D105" i="22" s="1"/>
  <c r="I105" i="22" s="1"/>
  <c r="C106" i="22" s="1"/>
  <c r="D106" i="22" s="1"/>
  <c r="I106" i="22" s="1"/>
  <c r="E34" i="22"/>
  <c r="C34" i="22"/>
  <c r="C64" i="22"/>
  <c r="E64" i="22"/>
  <c r="M12" i="21"/>
  <c r="M49" i="21"/>
  <c r="C33" i="22"/>
  <c r="C63" i="22"/>
  <c r="C100" i="22"/>
  <c r="E104" i="22"/>
  <c r="F104" i="22" s="1"/>
  <c r="E105" i="22" s="1"/>
  <c r="F105" i="22" s="1"/>
  <c r="E106" i="22" s="1"/>
  <c r="F106" i="22" s="1"/>
  <c r="C12" i="5"/>
  <c r="D12" i="5"/>
  <c r="E12" i="5"/>
  <c r="F12" i="5"/>
  <c r="G12" i="5"/>
  <c r="H12" i="5"/>
  <c r="I12" i="5"/>
  <c r="J12" i="5"/>
  <c r="K12" i="5"/>
  <c r="L12" i="5"/>
  <c r="M12" i="5"/>
  <c r="C13" i="5"/>
  <c r="D13" i="5"/>
  <c r="E13" i="5"/>
  <c r="F13" i="5"/>
  <c r="G13" i="5"/>
  <c r="H13" i="5"/>
  <c r="I13" i="5"/>
  <c r="J13" i="5"/>
  <c r="K13" i="5"/>
  <c r="L13" i="5"/>
  <c r="M13" i="5"/>
  <c r="C16" i="5"/>
  <c r="D16" i="5"/>
  <c r="E16" i="5"/>
  <c r="F16" i="5"/>
  <c r="G16" i="5"/>
  <c r="H16" i="5"/>
  <c r="I16" i="5"/>
  <c r="J16" i="5"/>
  <c r="K16" i="5"/>
  <c r="L16" i="5"/>
  <c r="M16" i="5"/>
  <c r="C17" i="5"/>
  <c r="D17" i="5"/>
  <c r="E17" i="5"/>
  <c r="F17" i="5"/>
  <c r="G17" i="5"/>
  <c r="H17" i="5"/>
  <c r="I17" i="5"/>
  <c r="J17" i="5"/>
  <c r="K17" i="5"/>
  <c r="L17" i="5"/>
  <c r="M17" i="5"/>
  <c r="D18" i="5"/>
  <c r="E18" i="5"/>
  <c r="F18" i="5"/>
  <c r="G18" i="5"/>
  <c r="H18" i="5"/>
  <c r="I18" i="5"/>
  <c r="J18" i="5"/>
  <c r="K18" i="5"/>
  <c r="L18" i="5"/>
  <c r="M18" i="5"/>
  <c r="D20" i="5"/>
  <c r="E20" i="5"/>
  <c r="F20" i="5"/>
  <c r="G20" i="5"/>
  <c r="H20" i="5"/>
  <c r="I20" i="5"/>
  <c r="J20" i="5"/>
  <c r="K20" i="5"/>
  <c r="L20" i="5"/>
  <c r="M20" i="5"/>
  <c r="C21" i="5"/>
  <c r="D21" i="5"/>
  <c r="E21" i="5"/>
  <c r="F21" i="5"/>
  <c r="G21" i="5"/>
  <c r="H21" i="5"/>
  <c r="I21" i="5"/>
  <c r="J21" i="5"/>
  <c r="K21" i="5"/>
  <c r="L21" i="5"/>
  <c r="M21" i="5"/>
  <c r="C24" i="5"/>
  <c r="D24" i="5"/>
  <c r="E24" i="5"/>
  <c r="F24" i="5"/>
  <c r="G24" i="5"/>
  <c r="H24" i="5"/>
  <c r="I24" i="5"/>
  <c r="J24" i="5"/>
  <c r="K24" i="5"/>
  <c r="L24" i="5"/>
  <c r="M24" i="5"/>
  <c r="C25" i="5"/>
  <c r="D25" i="5"/>
  <c r="E25" i="5"/>
  <c r="F25" i="5"/>
  <c r="G25" i="5"/>
  <c r="H25" i="5"/>
  <c r="I25" i="5"/>
  <c r="J25" i="5"/>
  <c r="K25" i="5"/>
  <c r="L25" i="5"/>
  <c r="M25" i="5"/>
  <c r="C26" i="5"/>
  <c r="D26" i="5"/>
  <c r="E26" i="5"/>
  <c r="F26" i="5"/>
  <c r="G26" i="5"/>
  <c r="H26" i="5"/>
  <c r="I26" i="5"/>
  <c r="J26" i="5"/>
  <c r="K26" i="5"/>
  <c r="L26" i="5"/>
  <c r="M26" i="5"/>
  <c r="C27" i="5"/>
  <c r="D27" i="5"/>
  <c r="E27" i="5"/>
  <c r="F27" i="5"/>
  <c r="G27" i="5"/>
  <c r="H27" i="5"/>
  <c r="I27" i="5"/>
  <c r="J27" i="5"/>
  <c r="K27" i="5"/>
  <c r="L27" i="5"/>
  <c r="M27" i="5"/>
  <c r="C30" i="5"/>
  <c r="D30" i="5"/>
  <c r="E30" i="5"/>
  <c r="F30" i="5"/>
  <c r="G30" i="5"/>
  <c r="H30" i="5"/>
  <c r="I30" i="5"/>
  <c r="J30" i="5"/>
  <c r="K30" i="5"/>
  <c r="L30" i="5"/>
  <c r="M30" i="5"/>
  <c r="C8" i="6"/>
  <c r="D8" i="6"/>
  <c r="E8" i="6"/>
  <c r="F8" i="6"/>
  <c r="G8" i="6"/>
  <c r="H8" i="6"/>
  <c r="I8" i="6"/>
  <c r="J8" i="6"/>
  <c r="K8" i="6"/>
  <c r="L8" i="6"/>
  <c r="M8" i="6"/>
  <c r="C9" i="6"/>
  <c r="D9" i="6"/>
  <c r="E9" i="6"/>
  <c r="F9" i="6"/>
  <c r="G9" i="6"/>
  <c r="H9" i="6"/>
  <c r="I9" i="6"/>
  <c r="J9" i="6"/>
  <c r="K9" i="6"/>
  <c r="L9" i="6"/>
  <c r="M9" i="6"/>
  <c r="C14" i="6"/>
  <c r="D14" i="6"/>
  <c r="E14" i="6"/>
  <c r="F14" i="6"/>
  <c r="G14" i="6"/>
  <c r="H14" i="6"/>
  <c r="I14" i="6"/>
  <c r="J14" i="6"/>
  <c r="K14" i="6"/>
  <c r="L14" i="6"/>
  <c r="M14" i="6"/>
  <c r="C22" i="6"/>
  <c r="D22" i="6"/>
  <c r="E22" i="6"/>
  <c r="F22" i="6"/>
  <c r="G22" i="6"/>
  <c r="H22" i="6"/>
  <c r="I22" i="6"/>
  <c r="J22" i="6"/>
  <c r="K22" i="6"/>
  <c r="L22" i="6"/>
  <c r="M22" i="6"/>
  <c r="C5" i="11"/>
  <c r="D5" i="11"/>
  <c r="E5" i="11"/>
  <c r="F5" i="11"/>
  <c r="G5" i="11"/>
  <c r="H5" i="11"/>
  <c r="I5" i="11"/>
  <c r="J5" i="11"/>
  <c r="K5" i="11"/>
  <c r="L5" i="11"/>
  <c r="M5" i="11"/>
  <c r="C6" i="11"/>
  <c r="D6" i="11"/>
  <c r="E6" i="11"/>
  <c r="F6" i="11"/>
  <c r="G6" i="11"/>
  <c r="H6" i="11"/>
  <c r="I6" i="11"/>
  <c r="J6" i="11"/>
  <c r="K6" i="11"/>
  <c r="L6" i="11"/>
  <c r="M6" i="11"/>
  <c r="C8" i="11"/>
  <c r="D8" i="11"/>
  <c r="E8" i="11"/>
  <c r="F8" i="11"/>
  <c r="G8" i="11"/>
  <c r="H8" i="11"/>
  <c r="I8" i="11"/>
  <c r="J8" i="11"/>
  <c r="K8" i="11"/>
  <c r="L8" i="11"/>
  <c r="M8" i="11"/>
  <c r="C10" i="11"/>
  <c r="D10" i="11"/>
  <c r="E10" i="11"/>
  <c r="F10" i="11"/>
  <c r="G10" i="11"/>
  <c r="H10" i="11"/>
  <c r="I10" i="11"/>
  <c r="J10" i="11"/>
  <c r="K10" i="11"/>
  <c r="L10" i="11"/>
  <c r="M10" i="11"/>
  <c r="C12" i="11"/>
  <c r="D12" i="11"/>
  <c r="E12" i="11"/>
  <c r="F12" i="11"/>
  <c r="G12" i="11"/>
  <c r="H12" i="11"/>
  <c r="I12" i="11"/>
  <c r="J12" i="11"/>
  <c r="K12" i="11"/>
  <c r="L12" i="11"/>
  <c r="M12" i="11"/>
  <c r="C14" i="11"/>
  <c r="D14" i="11"/>
  <c r="E14" i="11"/>
  <c r="F14" i="11"/>
  <c r="G14" i="11"/>
  <c r="H14" i="11"/>
  <c r="I14" i="11"/>
  <c r="J14" i="11"/>
  <c r="K14" i="11"/>
  <c r="L14" i="11"/>
  <c r="M14" i="11"/>
  <c r="C16" i="11"/>
  <c r="D16" i="11"/>
  <c r="E16" i="11"/>
  <c r="F16" i="11"/>
  <c r="G16" i="11"/>
  <c r="H16" i="11"/>
  <c r="I16" i="11"/>
  <c r="J16" i="11"/>
  <c r="K16" i="11"/>
  <c r="L16" i="11"/>
  <c r="M16" i="11"/>
  <c r="C17" i="11"/>
  <c r="D17" i="11"/>
  <c r="E17" i="11"/>
  <c r="F17" i="11"/>
  <c r="G17" i="11"/>
  <c r="H17" i="11"/>
  <c r="I17" i="11"/>
  <c r="J17" i="11"/>
  <c r="K17" i="11"/>
  <c r="L17" i="11"/>
  <c r="M17" i="11"/>
  <c r="C5" i="12"/>
  <c r="D5" i="12"/>
  <c r="E5" i="12"/>
  <c r="F5" i="12"/>
  <c r="G5" i="12"/>
  <c r="H5" i="12"/>
  <c r="I5" i="12"/>
  <c r="J5" i="12"/>
  <c r="K5" i="12"/>
  <c r="L5" i="12"/>
  <c r="M5" i="12"/>
  <c r="C8" i="12"/>
  <c r="D8" i="12"/>
  <c r="E8" i="12"/>
  <c r="F8" i="12"/>
  <c r="G8" i="12"/>
  <c r="H8" i="12"/>
  <c r="I8" i="12"/>
  <c r="J8" i="12"/>
  <c r="K8" i="12"/>
  <c r="L8" i="12"/>
  <c r="M8" i="12"/>
  <c r="C14" i="12"/>
  <c r="D14" i="12"/>
  <c r="E14" i="12"/>
  <c r="F14" i="12"/>
  <c r="G14" i="12"/>
  <c r="H14" i="12"/>
  <c r="I14" i="12"/>
  <c r="J14" i="12"/>
  <c r="K14" i="12"/>
  <c r="L14" i="12"/>
  <c r="M14" i="12"/>
  <c r="C16" i="12"/>
  <c r="D16" i="12"/>
  <c r="E16" i="12"/>
  <c r="F16" i="12"/>
  <c r="G16" i="12"/>
  <c r="H16" i="12"/>
  <c r="I16" i="12"/>
  <c r="J16" i="12"/>
  <c r="K16" i="12"/>
  <c r="L16" i="12"/>
  <c r="M16" i="12"/>
  <c r="C17" i="12"/>
  <c r="D17" i="12"/>
  <c r="E17" i="12"/>
  <c r="F17" i="12"/>
  <c r="G17" i="12"/>
  <c r="H17" i="12"/>
  <c r="I17" i="12"/>
  <c r="J17" i="12"/>
  <c r="K17" i="12"/>
  <c r="L17" i="12"/>
  <c r="M17" i="12"/>
  <c r="C9" i="8"/>
  <c r="D9" i="8"/>
  <c r="E9" i="8"/>
  <c r="F9" i="8"/>
  <c r="G9" i="8"/>
  <c r="H9" i="8"/>
  <c r="I9" i="8"/>
  <c r="J9" i="8"/>
  <c r="K9" i="8"/>
  <c r="L9" i="8"/>
  <c r="M9" i="8"/>
  <c r="C11" i="8"/>
  <c r="D11" i="8"/>
  <c r="E11" i="8"/>
  <c r="F11" i="8"/>
  <c r="G11" i="8"/>
  <c r="H11" i="8"/>
  <c r="I11" i="8"/>
  <c r="J11" i="8"/>
  <c r="K11" i="8"/>
  <c r="L11" i="8"/>
  <c r="M11" i="8"/>
  <c r="C23" i="20"/>
  <c r="D23" i="20"/>
  <c r="E23" i="20"/>
  <c r="F23" i="20"/>
  <c r="G23" i="20"/>
  <c r="H23" i="20"/>
  <c r="I23" i="20"/>
  <c r="J23" i="20"/>
  <c r="K23" i="20"/>
  <c r="L23" i="20"/>
  <c r="M23" i="20"/>
  <c r="C26" i="20"/>
  <c r="D26" i="20"/>
  <c r="E26" i="20"/>
  <c r="F26" i="20"/>
  <c r="G26" i="20"/>
  <c r="H26" i="20"/>
  <c r="I26" i="20"/>
  <c r="J26" i="20"/>
  <c r="K26" i="20"/>
  <c r="L26" i="20"/>
  <c r="M26" i="20"/>
  <c r="C32" i="20"/>
  <c r="D32" i="20"/>
  <c r="E32" i="20"/>
  <c r="F32" i="20"/>
  <c r="G32" i="20"/>
  <c r="H32" i="20"/>
  <c r="I32" i="20"/>
  <c r="J32" i="20"/>
  <c r="K32" i="20"/>
  <c r="L32" i="20"/>
  <c r="M32" i="20"/>
  <c r="C36" i="20"/>
  <c r="D36" i="20"/>
  <c r="E36" i="20"/>
  <c r="F36" i="20"/>
  <c r="G36" i="20"/>
  <c r="H36" i="20"/>
  <c r="I36" i="20"/>
  <c r="J36" i="20"/>
  <c r="K36" i="20"/>
  <c r="L36" i="20"/>
  <c r="M36" i="20"/>
  <c r="D40" i="20"/>
  <c r="E40" i="20"/>
  <c r="F40" i="20"/>
  <c r="G40" i="20"/>
  <c r="H40" i="20"/>
  <c r="I40" i="20"/>
  <c r="J40" i="20"/>
  <c r="K40" i="20"/>
  <c r="L40" i="20"/>
  <c r="M40" i="20"/>
  <c r="C42" i="20"/>
  <c r="D42" i="20"/>
  <c r="E42" i="20"/>
  <c r="F42" i="20"/>
  <c r="G42" i="20"/>
  <c r="H42" i="20"/>
  <c r="I42" i="20"/>
  <c r="J42" i="20"/>
  <c r="K42" i="20"/>
  <c r="L42" i="20"/>
  <c r="M42" i="20"/>
  <c r="C43" i="20"/>
  <c r="D43" i="20"/>
  <c r="E43" i="20"/>
  <c r="F43" i="20"/>
  <c r="G43" i="20"/>
  <c r="H43" i="20"/>
  <c r="I43" i="20"/>
  <c r="J43" i="20"/>
  <c r="K43" i="20"/>
  <c r="L43" i="20"/>
  <c r="M43" i="20"/>
  <c r="C44" i="20"/>
  <c r="D44" i="20"/>
  <c r="E44" i="20"/>
  <c r="F44" i="20"/>
  <c r="G44" i="20"/>
  <c r="H44" i="20"/>
  <c r="I44" i="20"/>
  <c r="J44" i="20"/>
  <c r="K44" i="20"/>
  <c r="L44" i="20"/>
  <c r="M44" i="20"/>
  <c r="C45" i="20"/>
  <c r="D45" i="20"/>
  <c r="E45" i="20"/>
  <c r="F45" i="20"/>
  <c r="G45" i="20"/>
  <c r="H45" i="20"/>
  <c r="I45" i="20"/>
  <c r="J45" i="20"/>
  <c r="K45" i="20"/>
  <c r="L45" i="20"/>
  <c r="M45" i="20"/>
  <c r="C46" i="20"/>
  <c r="D46" i="20"/>
  <c r="E46" i="20"/>
  <c r="F46" i="20"/>
  <c r="G46" i="20"/>
  <c r="H46" i="20"/>
  <c r="I46" i="20"/>
  <c r="J46" i="20"/>
  <c r="K46" i="20"/>
  <c r="L46" i="20"/>
  <c r="M46" i="20"/>
  <c r="C47" i="20"/>
  <c r="D47" i="20"/>
  <c r="E47" i="20"/>
  <c r="F47" i="20"/>
  <c r="G47" i="20"/>
  <c r="H47" i="20"/>
  <c r="I47" i="20"/>
  <c r="J47" i="20"/>
  <c r="K47" i="20"/>
  <c r="L47" i="20"/>
  <c r="M47" i="20"/>
  <c r="D48" i="20"/>
  <c r="E48" i="20"/>
  <c r="F48" i="20"/>
  <c r="G48" i="20"/>
  <c r="H48" i="20"/>
  <c r="I48" i="20"/>
  <c r="J48" i="20"/>
  <c r="K48" i="20"/>
  <c r="L48" i="20"/>
  <c r="M48" i="20"/>
</calcChain>
</file>

<file path=xl/sharedStrings.xml><?xml version="1.0" encoding="utf-8"?>
<sst xmlns="http://schemas.openxmlformats.org/spreadsheetml/2006/main" count="2022" uniqueCount="1505">
  <si>
    <t>TITLE</t>
  </si>
  <si>
    <t>THE STOCK ELEPHANT -- Part III: Seven-Actor SFC Toy Model</t>
  </si>
  <si>
    <t>PURPOSE</t>
  </si>
  <si>
    <t>This spreadsheet implements a Stock-Flow Consistent (SFC) balance sheet model for seven actors in the international dollar circuit. Every inter-actor flow is enforced by formula. The SFC_CHECK sheet verifies that all accounting identities hold across all years.</t>
  </si>
  <si>
    <t>YEAR MAPPING</t>
  </si>
  <si>
    <t>Y0=2016 (baseline), Y1=2017, Y2=2018, Y3=2019, Y4=2020 (COVID), Y5=2021, Y6=2022 (basis trade surge), Y7=2023 (QDLP reopens), Y8=2024, Y9=2025, Y10+=Stress scenario. NOTE: In the published article, only Y0..Y10+ labels are used. No calendar dates appear in the publication.</t>
  </si>
  <si>
    <t>NAMING CONVENTIONS</t>
  </si>
  <si>
    <t>AmeriCo = reserve currency issuer (US analog). JapanCo = surplus accumulator (China analog). JapCBCo = JapanCo central bank sub-account. JapY = JapanCo domestic currency (CNY analog). JapInv = JapanCo outward investment projects (BRI analog). CommodityCo = commodity-exporting sovereign (Gulf/EM analog, generic). GlobalBankCo = large international bank. RepoCo = repo desk / FICC member. HedgeCo = basis trade vehicle (Cayman-registered). FedCo = AmeriCo central bank / absorber of last resort.</t>
  </si>
  <si>
    <t>UNITS</t>
  </si>
  <si>
    <t>All values in stylized $B (billions). Toy model -- ratios matter, not absolute scale. Real-world order-of-magnitude calibration noted in ASSUMPTIONS sheet.</t>
  </si>
  <si>
    <t>COLOR CODING</t>
  </si>
  <si>
    <t>BLUE TEXT = hardcoded input (change these for scenarios). BLACK TEXT = formula (do not hardcode). GREEN TEXT = cross-sheet reference. GREEN BACKGROUND = asset rows. ORANGE BACKGROUND = liability rows. PURPLE BACKGROUND = derivative / off-balance-sheet rows. YELLOW BACKGROUND = equity / net worth rows. BLUE BACKGROUND = fractional measure rows. RED BACKGROUND = stress scenario rows.</t>
  </si>
  <si>
    <t>SFC IDENTITIES</t>
  </si>
  <si>
    <t>The following identities must hold at every year column. They are verified in SFC_CHECK sheet. Any red cell in SFC_CHECK indicates a model error.</t>
  </si>
  <si>
    <t xml:space="preserve">  Identity 1</t>
  </si>
  <si>
    <t>JapanCo deposit at GlobalBankCo = GlobalBankCo liability to JapanCo</t>
  </si>
  <si>
    <t xml:space="preserve">  Identity 2</t>
  </si>
  <si>
    <t>CommodityCo deposit at GlobalBankCo = GlobalBankCo liability to CommodityCo</t>
  </si>
  <si>
    <t xml:space="preserve">  Identity 3</t>
  </si>
  <si>
    <t>GlobalBankCo repo to RepoCo = RepoCo repo payable to GlobalBankCo</t>
  </si>
  <si>
    <t xml:space="preserve">  Identity 4</t>
  </si>
  <si>
    <t>RepoCo repo to HedgeCo = HedgeCo repo payable to RepoCo</t>
  </si>
  <si>
    <t xml:space="preserve">  Identity 5</t>
  </si>
  <si>
    <t>HedgeCo long cash Treasury = Treasury held via repo chain (= RepoCo repo to HedgeCo)</t>
  </si>
  <si>
    <t xml:space="preserve">  Identity 6</t>
  </si>
  <si>
    <t>AmeriCo CA deficit (year) = sum of net new foreign claims issued that year</t>
  </si>
  <si>
    <t xml:space="preserve">  Identity 7</t>
  </si>
  <si>
    <t>FedCo Treasury purchase in stress = HedgeCo Treasury sale in stress</t>
  </si>
  <si>
    <t xml:space="preserve">  Identity 8</t>
  </si>
  <si>
    <t>AmeriCo NIIP = sum of all net foreign claims on AmeriCo (sign-reversed)</t>
  </si>
  <si>
    <t xml:space="preserve">  Identity 9</t>
  </si>
  <si>
    <t>System net worth = 0 (every financial asset is someone else's liability)</t>
  </si>
  <si>
    <t>DATA SOURCES</t>
  </si>
  <si>
    <t>CFTC TFF: publicreporting.cftc.gov -- leveraged fund net short, latest $1,050B (Mar 2026, includes Ultra 10yr code 043607). BIS LBS: data.bis.org -- total liabilities to China $4,639B (Series A), loans+deposits $3,876B (Series G, best available -- see NOTE). Barth-Beltran Oct 2025: basis trade $1,850B total, $423B TIC-visible, $1,427B invisible. Setser/IMF: China routing gap $2.7T cumulative by Y9/2025.</t>
  </si>
  <si>
    <t>BIS DATA NOTE</t>
  </si>
  <si>
    <t>BIS LBS does not publish a deposit-only instrument series. Code G (Loans and deposits) is the finest available granularity but bundles deposits, loans, and repo cash legs (BIS Guidelines para 2.42). The deposit-specific series for SLR hypothesis validation is structurally unavailable in public BIS data. SDMX codelist: stats.bis.org/api/v2/codelist/BIS/CL_LBS_INSTR/1.0</t>
  </si>
  <si>
    <t>PUBLICATION NOTE</t>
  </si>
  <si>
    <t>Internal working document. Publication version uses Y0..Y10+ labels only, removes CommodityCo name, removes JapCBCo/JapY/JapInv labels, and presents fractional measure formulas without estimated values. Editorial decision on what to publish made at end of drafting.</t>
  </si>
  <si>
    <t>PART IV EXTENSION</t>
  </si>
  <si>
    <t>New sheets added for Part IV -- AmeriCo Internal Sector Decomposition</t>
  </si>
  <si>
    <t>AmeriCo (existing) is the aggregate. Five new sheets decompose it internally.</t>
  </si>
  <si>
    <t xml:space="preserve">  HouseholdCo</t>
  </si>
  <si>
    <t>Wage income, pension assets (FinServCo LPs), housing equity, consumer debt</t>
  </si>
  <si>
    <t xml:space="preserve">  ManuCo</t>
  </si>
  <si>
    <t>Physical productive base -- plant, equipment, tradeable output, wage bill</t>
  </si>
  <si>
    <t xml:space="preserve">  ProdServiceCo</t>
  </si>
  <si>
    <t>Technology / software / IP -- real TFP gains, equity-funded, low debt</t>
  </si>
  <si>
    <t xml:space="preserve">  FinServCo</t>
  </si>
  <si>
    <t>Pension funds + insurance -- LP in HedgeCo, long-duration Treasuries, equity portfolio. FISIM income measured as GDP but not productive output.</t>
  </si>
  <si>
    <t xml:space="preserve">  AmeriBankCo</t>
  </si>
  <si>
    <t>Regulated bank intermediary -- SLR-constrained, routes FedCo reserves to FinServCo via repo. The valve.</t>
  </si>
  <si>
    <t xml:space="preserve">  GovCo</t>
  </si>
  <si>
    <t>Already exists. Treasury issuer, fiscal flows.</t>
  </si>
  <si>
    <t>INTERNAL SFC IDENTITIES (rows 12-17 in SFC_CHECK)</t>
  </si>
  <si>
    <t xml:space="preserve">  Identity 12</t>
  </si>
  <si>
    <t>ManuCo wages + ProdServiceCo wages + FinServCo wages = HouseholdCo wage income</t>
  </si>
  <si>
    <t xml:space="preserve">  Identity 13</t>
  </si>
  <si>
    <t>HouseholdCo deposits + ManuCo deposits + ProdServiceCo deposits = AmeriBankCo deposit liabilities (domestic)</t>
  </si>
  <si>
    <t xml:space="preserve">  Identity 14</t>
  </si>
  <si>
    <t>AmeriBankCo repo to FinServCo = FinServCo repo payable to AmeriBankCo</t>
  </si>
  <si>
    <t xml:space="preserve">  Identity 15</t>
  </si>
  <si>
    <t>GovCo domestic bonds = HouseholdCo pension Treasury + AmeriBankCo Treasury + FinServCo direct Treasury</t>
  </si>
  <si>
    <t xml:space="preserve">  Identity 16</t>
  </si>
  <si>
    <t>FedCo new reserves = AmeriBankCo reserve assets (each absorption episode)</t>
  </si>
  <si>
    <t xml:space="preserve">  Identity 17</t>
  </si>
  <si>
    <t>FinServCo LP stake in HedgeCo = HedgeCo equity base (ASSUMPTIONS r43)</t>
  </si>
  <si>
    <t>THESIS (no behavioral assumptions required)</t>
  </si>
  <si>
    <t>FedCo absorbs -&gt; AmeriBankCo reserves up -&gt; SLR routes to FinServCo repo -&gt; discount rate falls -&gt; ProdServiceCo equity rises (DCF identity) -&gt; ManuCo investment crowded out (return differential) -&gt; ManuCo wage bill shrinks -&gt; HouseholdCo wage share falls. Every step is accounting or pricing identity.</t>
  </si>
  <si>
    <t>SFC INTEGRITY FIX (applied)</t>
  </si>
  <si>
    <t>RepoCo row 4 (Treasury asset) removed. RepoCo holds repo loan (cash claim) only. Treasury lives on HedgeCo balance sheet.</t>
  </si>
  <si>
    <t>Identity 18 added to SFC_CHECK: Treasury conservation. Every GovCo bond in exactly one on-balance-sheet location.</t>
  </si>
  <si>
    <t>Identity 18a: RepoCo on-BS Treasury = 0. Identity 18b: ClearCo on-BS Treasury = 0 (novation = memorandum only).</t>
  </si>
  <si>
    <t>Rule enforced: Bond ownership is unique. Repo creates claims, not duplicate assets.</t>
  </si>
  <si>
    <t>REVISION LOG — Reviewer fixes applied</t>
  </si>
  <si>
    <t xml:space="preserve">  FIX 1 — Calibration triangle</t>
  </si>
  <si>
    <t>hedge_multiplier: 1.3→1.76 (Barth-Beltran cash/CFTC futures). novation fraction: 0.25→0.771 (TVR=22.9%).</t>
  </si>
  <si>
    <t xml:space="preserve">  FIX 2 — κ divergence equation</t>
  </si>
  <si>
    <t>Explicit inequality in MEASURES: accumulation_rate vs TFP_growth. Falsification condition: κ converges only if TFP &gt; (CA_deficit/K_real). At 7% TFP: still diverges. Part V anchor.</t>
  </si>
  <si>
    <t xml:space="preserve">  FIX 3 — Selling sensitivity weights</t>
  </si>
  <si>
    <t>Seller chain now weighted simultaneous (interior solution), not purely sequential (corner solution). FS weight=0.50, AB=0.25, Official=0.25. Priority preserved, overlap allowed.</t>
  </si>
  <si>
    <t xml:space="preserve">  FIX 4 — Duration mix toggle</t>
  </si>
  <si>
    <t>ASSUMPTIONS: duration_mix [0=bills, 1=bonds]. When Treasury shifts to bills, basis trade collateral compresses. BTAR_adjusted = BTAR × duration_mix. Effective Part IV mechanic.</t>
  </si>
  <si>
    <t xml:space="preserve">  FIX 5 — Gate as conditional brake</t>
  </si>
  <si>
    <t>Gate is NOT automatic cascade trigger. Gate = brake (stabilizing). Cascade fires only when illiquidity ratio &gt; 5 AND PC default shock simultaneously. Single-period gate = brake.</t>
  </si>
  <si>
    <t xml:space="preserve">  FIX 6 — TVR dynamic qualifier</t>
  </si>
  <si>
    <t>TVR calibrated at 22.9% (Barth-Beltran 2025). Note added: varies with collateral velocity and novation intensity.</t>
  </si>
  <si>
    <t xml:space="preserve">  FIX 7 — Scenario 5 joint stress</t>
  </si>
  <si>
    <t>CONTAGION S5: Hormuz + Blue Owl + Tariff firing simultaneously. 9-step cascade. Non-sequential selling → interior solution → faster yield move. April 2026 calibration.</t>
  </si>
  <si>
    <t xml:space="preserve">  FIX 8 — Commodity stress recalibration</t>
  </si>
  <si>
    <t>CommodityCo commodity_price_shock Y10+: -50%→-70% (Hormuz calibration: largest disruption in history, 2.5% global energy supply). Both receivables and import costs hit simultaneously.</t>
  </si>
  <si>
    <t>V2 REVISION (May 2026)</t>
  </si>
  <si>
    <t xml:space="preserve">  FIX 1 -- AmeriBankCo deposit wiring</t>
  </si>
  <si>
    <t>AmeriBankCo r11 (HH deposit liability) was wired to HouseholdCo r8 (HH direct TSY) instead of r7 (Deposits at AmeriBankCo). Fixed. Restores SFC Identity 13.</t>
  </si>
  <si>
    <t xml:space="preserve">  FIX 2 -- Identity 14 check</t>
  </si>
  <si>
    <t>SFC_CHECK r22 was comparing AmeriBankCo r5 against FinServCo r12 (pension obligations) when it should compare against FinServCo r14 (repo payable). The model was correct; the check formula had a typo.</t>
  </si>
  <si>
    <t xml:space="preserve">  FIX 3 -- Diagnostic relabeling</t>
  </si>
  <si>
    <t>SFC_CHECK rows 30, 41, 48, 52 are diagnostic measures, not identity violations. Relabeled with DIAG prefix.</t>
  </si>
  <si>
    <t xml:space="preserve">  FIX 4 -- FIMA known issue</t>
  </si>
  <si>
    <t>Identity 41 flagged as known issue. FedCo and JapanCo FIMA computed on different bases.</t>
  </si>
  <si>
    <t xml:space="preserve">  FIX 5 -- Comment cell types</t>
  </si>
  <si>
    <t>Four pre-existing cells (GovCo B17, MEASURES B28/B59/B62) had notes-column text incorrectly stored as formulas. Excel rejected these on open. Now stored as plain text.</t>
  </si>
  <si>
    <t xml:space="preserve">  SCOPE NOTE</t>
  </si>
  <si>
    <t>Published Part IV and Part IVb are unaffected. Macro routing chain identities and gauge measures all hold in v1 and v2.</t>
  </si>
  <si>
    <t xml:space="preserve">  VERIFICATION REQUIREMENT</t>
  </si>
  <si>
    <t>Open in Excel with iterative calculation enabled: File &gt; Options &gt; Formulas &gt; Enable iterative calculation. Set max iterations 100, max change 0.001.</t>
  </si>
  <si>
    <t>ASSUMPTIONS -- All hardcoded inputs (blue). Change here; formulas flow through.</t>
  </si>
  <si>
    <t>Account / Line Item</t>
  </si>
  <si>
    <t>Notes / Source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</si>
  <si>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</si>
  <si>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</si>
  <si>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</si>
  <si>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</si>
  <si>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</si>
  <si>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</si>
  <si>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</si>
  <si>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</si>
  <si>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</si>
  <si>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</si>
  <si>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Y10+
Stress</t>
  </si>
  <si>
    <t>AMERICО ASSUMPTIONS</t>
  </si>
  <si>
    <t>Productive capital K_real ($B)</t>
  </si>
  <si>
    <t>Stylized. Real-world US fixed capital ~$60T; toy model ratios matter not scale.</t>
  </si>
  <si>
    <t>GDP (Y_productive, $B)</t>
  </si>
  <si>
    <t>Toy model GDP. FISIM-adjusted -- financial sector value-add excluded.</t>
  </si>
  <si>
    <t>CA deficit per year ($B)</t>
  </si>
  <si>
    <t>Real-world US CA deficit: ~$1T/yr by 2024. Toy model scaled.</t>
  </si>
  <si>
    <t>NIIP Y0 starting value ($B)</t>
  </si>
  <si>
    <t>Only Y0 is input. Subsequent years formula: prior year + CA deficit.</t>
  </si>
  <si>
    <t>Official reserve liabilities Y0 ($B)</t>
  </si>
  <si>
    <t>Real-world: $7.5T official reserves globally. Toy model scaled.</t>
  </si>
  <si>
    <t>Reserve growth rate (% per year)</t>
  </si>
  <si>
    <t>Flat since 2015 peak. Real-world PBOC reserves ~$3.1T, stable.</t>
  </si>
  <si>
    <t>JAPANCO ASSUMPTIONS</t>
  </si>
  <si>
    <t>CA surplus per year ($B)</t>
  </si>
  <si>
    <t>SUPERSEDED by JapanCo endogenous CA = export_rev - oil_import_bill. See JapanCo trade flows rows. Two-phase Hormuz structure is now endogenous.</t>
  </si>
  <si>
    <t>PBOC (JapCBCo) reserve accumulation rate (% of surplus)</t>
  </si>
  <si>
    <t>Most surplus NOT going to official reserves since 2015. Setser routing gap.</t>
  </si>
  <si>
    <t>GlobalBankCo deposit rate (% of routing gap)</t>
  </si>
  <si>
    <t>State rerouting channel. BIS LBS code G proxy (loans+deposits, inseparable).</t>
  </si>
  <si>
    <t>JapInv project lending per year ($B)</t>
  </si>
  <si>
    <t>JapanCo outward project lending (BRI analog).</t>
  </si>
  <si>
    <t>Private channel open? (1=yes, 0=no)</t>
  </si>
  <si>
    <t>QDLP: halted Jul 2015 (pre-Y0), reinstated Apr 2018 (Y2), halted again ~Y4, QDLP expansion Sep 2023 (Y7).</t>
  </si>
  <si>
    <t>Private channel flow (% of surplus, if open)</t>
  </si>
  <si>
    <t>QDII quota: $159.7B. Small relative to total routing gap.</t>
  </si>
  <si>
    <t>COMMODITYCO ASSUMPTIONS</t>
  </si>
  <si>
    <t>Commodity receivables Y0 ($B)</t>
  </si>
  <si>
    <t>Oil/gas/minerals export receivables. Volatile.</t>
  </si>
  <si>
    <t>Commodity price change (% per year)</t>
  </si>
  <si>
    <t>Hormuz calibration: -70% Y10+ (largest disruption in history, 2.5% global energy supply, simultaneous with receivables collapse and import cost spike).</t>
  </si>
  <si>
    <t>GlobalBankCo deposit Y0 ($B)</t>
  </si>
  <si>
    <t>Dollar liquid buffer. First withdrawal target under stress.</t>
  </si>
  <si>
    <t>Deposit growth rate (% per year, ex-stress)</t>
  </si>
  <si>
    <t>Y10+ stress: CLC breach forces -45% withdrawal.</t>
  </si>
  <si>
    <t>Direct Treasury Y0 ($B)</t>
  </si>
  <si>
    <t>TIC-visible sovereign Treasury holdings.</t>
  </si>
  <si>
    <t>Treasury growth rate (% per year, ex-stress)</t>
  </si>
  <si>
    <t>Y10+ stress: forced sale alongside deposit withdrawal.</t>
  </si>
  <si>
    <t>Gold reserves Y0 ($B)</t>
  </si>
  <si>
    <t>Gold growth rate (% per year, normal)</t>
  </si>
  <si>
    <t>Gold liquidation fraction (stress year Y10+)</t>
  </si>
  <si>
    <t>Gold proceeds routed to GBC deposit (% of proceeds)</t>
  </si>
  <si>
    <t>GLOBALBANKCO ASSUMPTIONS</t>
  </si>
  <si>
    <t>Other loans and advances Y0 ($B)</t>
  </si>
  <si>
    <t>Other loans growth rate</t>
  </si>
  <si>
    <t>SLR minimum (%)</t>
  </si>
  <si>
    <t>US GSIB SLR minimum 5%. Perera (Feb 2026): SLR reform Nov 2025 changes denominator.</t>
  </si>
  <si>
    <t>SLR constraint threshold (constrained if below, %)</t>
  </si>
  <si>
    <t>Repo spread (GlobalBankCo to RepoCo, bps)</t>
  </si>
  <si>
    <t>Stylized. Repo spread widens in stress.</t>
  </si>
  <si>
    <t>REPOCO ASSUMPTIONS</t>
  </si>
  <si>
    <t>Repo spread (RepoCo to HedgeCo, bps)</t>
  </si>
  <si>
    <t>FICC novation fraction (% of repo book off-balance-sheet)</t>
  </si>
  <si>
    <t>Barth-Beltran: TVR=22.9% → novation fraction=1-0.229=0.771. TVR varies with collateral velocity and novation intensity (calibrated at 2025 Barth-Beltran vintage).</t>
  </si>
  <si>
    <t>HEDGECO ASSUMPTIONS</t>
  </si>
  <si>
    <t>Barth-Beltran calibration: $1.85T cash / $1.05T CFTC futures = 1.76x. Was 1.3 (uncalibrated).</t>
  </si>
  <si>
    <t>Futures short notional as multiple of cash long</t>
  </si>
  <si>
    <t>HedgeCo equity ($B)</t>
  </si>
  <si>
    <t>Equity base. Leverage = gross exposure / equity.</t>
  </si>
  <si>
    <t>FEDCO ASSUMPTIONS</t>
  </si>
  <si>
    <t>Treasury holdings Y0 ($B)</t>
  </si>
  <si>
    <t>Real-world: Fed peaked $5.7T Treasuries Apr 2022. QT since.</t>
  </si>
  <si>
    <t>Treasury QE/QT per year ($B, positive=QE, negative=QT)</t>
  </si>
  <si>
    <t>Y4/2020: emergency QE. Y5-Y9: QT. Y10+ stress: emergency absorption.</t>
  </si>
  <si>
    <t>GDP ceiling for BS expansion (%)</t>
  </si>
  <si>
    <t>Stylized ceiling. At 38-40% GDP: productive base constraint binding. Part II hard threshold. Perera (Feb 2026).</t>
  </si>
  <si>
    <t>Stress absorption (Y10+ Treasury purchase, $B)</t>
  </si>
  <si>
    <t>Emergency purchase to stabilize yield spike from HedgeCo unwind. Range $150B-$1,450B depending on unwind scale. $400B = partial.</t>
  </si>
  <si>
    <t>GOVCO ASSUMPTIONS</t>
  </si>
  <si>
    <t>GovCo bonds outstanding Y0 ($B)</t>
  </si>
  <si>
    <t>Domestic holder share of bonds (%)</t>
  </si>
  <si>
    <t>Interest rate on GovCo bonds (%)</t>
  </si>
  <si>
    <t>Tax revenue Y0 ($B)</t>
  </si>
  <si>
    <t>Govt spending Y0 ($B)</t>
  </si>
  <si>
    <t>INTERNAL SECTOR ASSUMPTIONS (Part IV)</t>
  </si>
  <si>
    <t>ManuCo wage bill Y0 ($B)</t>
  </si>
  <si>
    <t>Stylized. Real-world US mfg wages ~$900B. Declining share of GDP.</t>
  </si>
  <si>
    <t>ManuCo wage growth rate</t>
  </si>
  <si>
    <t>Declining as capital routes to FinServCo not ManuCo.</t>
  </si>
  <si>
    <t>ProdServiceCo wage bill Y0 ($B)</t>
  </si>
  <si>
    <t>Growing. Tech sector wages rising as equity-funded investment expands.</t>
  </si>
  <si>
    <t>ProdServiceCo wage growth rate</t>
  </si>
  <si>
    <t>Positive. TFP gains + equity funding sustain investment.</t>
  </si>
  <si>
    <t>FinServCo wage bill Y0 ($B)</t>
  </si>
  <si>
    <t>Growing as FISIM income expands with each absorption cycle.</t>
  </si>
  <si>
    <t>FinServCo wage growth rate</t>
  </si>
  <si>
    <t>Grows with each FedCo absorption episode -- FISIM income up.</t>
  </si>
  <si>
    <t>ManuCo investment share of GDP (%)</t>
  </si>
  <si>
    <t>Real-world: mfg investment ~8% GDP 2019, declining.</t>
  </si>
  <si>
    <t>ProdServiceCo P/E ratio (equity valuation multiple)</t>
  </si>
  <si>
    <t>Rises as FedCo discount rate suppressed. Falls in stress.</t>
  </si>
  <si>
    <t>FinServCo LP stake in HedgeCo (% of HedgeCo equity)</t>
  </si>
  <si>
    <t>Pension funds as LPs. Stress = LP losses.</t>
  </si>
  <si>
    <t>AmeriBankCo domestic repo to FinServCo Y0 ($B)</t>
  </si>
  <si>
    <t>FedCo reserves -&gt; AmeriBankCo -&gt; repo -&gt; FinServCo. SLR valve.</t>
  </si>
  <si>
    <t>AmeriBankCo domestic repo growth rate</t>
  </si>
  <si>
    <t>Grows with each FedCo reserve creation episode.</t>
  </si>
  <si>
    <t>HedgeCo TSY Y0 anchor ($B) -- for FinServCo seller formula</t>
  </si>
  <si>
    <t>Fixed Y0 reference. FinServCo TSY shrinks by (HedgeCo_current - this).</t>
  </si>
  <si>
    <t>HouseholdCo direct equity in ProdServiceCo (fraction of HH net worth)</t>
  </si>
  <si>
    <t>HH direct equity holdings (401k, retail). ~20% of net worth.</t>
  </si>
  <si>
    <t>PRIVATE CREDIT PARAMETERS</t>
  </si>
  <si>
    <t>PrivCred Y0 ($B) — FinServCo loans to ProdServiceCo</t>
  </si>
  <si>
    <t>Illiquid 5-7yr. Real-world Blue Owl flagship ~$36B. Toy model scaled.</t>
  </si>
  <si>
    <t>PrivCred growth rate (annual)</t>
  </si>
  <si>
    <t>Grows as AmeriBankCo routes reserves to FinServCo.</t>
  </si>
  <si>
    <t>Callable fraction of pension obligations</t>
  </si>
  <si>
    <t>Blue Owl: 22% requested Q1 2026. Grows as liquidity concerns rise.</t>
  </si>
  <si>
    <t>ProdServiceCo default shock (% of PrivCred book, stress only)</t>
  </si>
  <si>
    <t>Exogenous shock. AI/software stress. Y10+: 15% of PC book defaults.</t>
  </si>
  <si>
    <t>SELLER CHAIN PARAMETERS</t>
  </si>
  <si>
    <t>GovCo bonds Y0 anchor (for reallocation delta tracking)</t>
  </si>
  <si>
    <t>Fixed reference for reallocation. = ASSUMPTIONS!C52. Reallocation = within-year ownership transfer.</t>
  </si>
  <si>
    <t>SELLING SENSITIVITY WEIGHTS (Point 1 fix — interior solution)</t>
  </si>
  <si>
    <t>FinServCo selling weight (yield-sensitive — duration mismatch)</t>
  </si>
  <si>
    <t>Most sensitive. Pension duration mismatch fires first on yield spike. Weight ∝ sensitivity × balance sheet stress.</t>
  </si>
  <si>
    <t>AmeriBankCo selling weight (medium — LCR buffer management)</t>
  </si>
  <si>
    <t>Sells as LCR buffer erodes. Constrained by SLR. Medium sensitivity.</t>
  </si>
  <si>
    <t>Official sector selling weight (least sensitive — political + reserve mgmt)</t>
  </si>
  <si>
    <t>Sells last. Political constraints on reserve drawdown. Coordination costs.</t>
  </si>
  <si>
    <t>Yield spike sensitivity (bps per $100B net selling)</t>
  </si>
  <si>
    <t>Price impact function. Higher = more stress per unit of selling.</t>
  </si>
  <si>
    <t>DURATION MIX PARAMETERS (GovCo bill-vs-bond toggle)</t>
  </si>
  <si>
    <t>Duration mix [0=bill-heavy, 1=bond-heavy]</t>
  </si>
  <si>
    <t>Treasury issuance composition. 0=pure bills (no basis trade collateral). 1=pure bonds (full basis trade collateral). Currently bond-heavy. Stress: Treasury might shift to bills.</t>
  </si>
  <si>
    <t>Effective collateral supply = HedgeCo_position × duration_mix</t>
  </si>
  <si>
    <t>Amount of bond collateral available for basis trade. Falls when Treasury shifts to bills. Compresses HedgeCo spread and BTAR.</t>
  </si>
  <si>
    <t>PRICE FEEDBACK LOOP PARAMETERS</t>
  </si>
  <si>
    <t>Base yield (%) — Treasury 10yr at Y0</t>
  </si>
  <si>
    <t>Baseline yield. Price feedback = yield - base_yield when selling occurs.</t>
  </si>
  <si>
    <t>Yield sensitivity (bps per unit net selling / absorption)</t>
  </si>
  <si>
    <t>yield = base + sensitivity × (net_selling / absorption_cap). 8bps per $100B net selling / $150B absorption = 0.053 per unit.</t>
  </si>
  <si>
    <t>FinServCo selling elasticity to yield</t>
  </si>
  <si>
    <t>How much FinServCo increases selling per unit yield rise. High: pension duration mismatch amplifies urgency.</t>
  </si>
  <si>
    <t>AmeriBankCo selling elasticity to yield</t>
  </si>
  <si>
    <t>Medium: LCR buffer management is yield-sensitive but constrained by regulatory floor.</t>
  </si>
  <si>
    <t>Official sector selling elasticity to yield</t>
  </si>
  <si>
    <t>Low: political constraints, coordination costs, reserve management mandates slow response.</t>
  </si>
  <si>
    <t>Yield threshold for GovCo bill shift (%)</t>
  </si>
  <si>
    <t>When yield &gt; threshold, GovCo shifts issuance to bills (shorter duration, less basis trade collateral).</t>
  </si>
  <si>
    <t>Duration mix when yield &gt; threshold [0=bills, 1=bonds]</t>
  </si>
  <si>
    <t>Treasury bill-heavy mix when yield exceeds threshold. Compresses basis trade collateral supply.</t>
  </si>
  <si>
    <t>Funding cost shock when FinServCo gate ON (% increment)</t>
  </si>
  <si>
    <t>Confidence spillover: gate fires → investors reprice similar funds → GlobalBankCo wholesale funding cost rises.</t>
  </si>
  <si>
    <t>HORMUZ / COMMODITY SHOCK — TWO-PHASE STRUCTURE</t>
  </si>
  <si>
    <t>Hormuz shock phase [0=normal, 1=Phase1 closed, 2=Phase2 reroute]</t>
  </si>
  <si>
    <t>Two-phase Korea analogy. Phase1=Hormuz closed (import collapses, false stabilization). Phase2=alternate routing at higher cost (real hit arrives).</t>
  </si>
  <si>
    <t>Phase 2 lag (quarters) — false stabilization window</t>
  </si>
  <si>
    <t>How long Phase 1 false stabilization lasts before Phase 2 hits. Korea=1Q, India=2Q, Japan=3-4Q (longer supply contracts). Setser empirical: oil shock → FX delay 3-4 quarters.</t>
  </si>
  <si>
    <t>Oil/LNG import volume index [1.0=normal, 0=Hormuz closed, 0.4=alternate routes]</t>
  </si>
  <si>
    <t>Endogenous: Phase1=0 (nothing transits Hormuz). Phase2=0.4 (partial reroute via Cape). Y10+=0.6 (further rerouting). Volume × price = import bill.</t>
  </si>
  <si>
    <t>Oil price index [1.0=normal, spikes Phase1, stays elevated Phase2]</t>
  </si>
  <si>
    <t>Phase1: price spikes as global supply drops 2.5% (Hormuz chart). Phase2: price moderates but stays elevated as rerouting adds cost. Calibrated to Hormuz = largest disruption in history.</t>
  </si>
  <si>
    <t>Japan export revenue ($B/yr) — manufacturing + services, not oil-dependent</t>
  </si>
  <si>
    <t>Japan exports: autos, electronics, machinery. Not directly affected by Hormuz. Mild demand shock in Phase2 as global growth slows.</t>
  </si>
  <si>
    <t>Japan oil import bill ($B/yr) = volume × price × base_bill</t>
  </si>
  <si>
    <t>Base bill = 150B/yr (Japan imports ~3mbd × $100/bbl). Phase1: volume=0 → bill=0 (false stabilization — CA surplus spikes). Phase2: volume=0.4, price=2.2 → bill=0.4×2.2×150=132B (higher than base!).</t>
  </si>
  <si>
    <t>CommodityCo export volume index [1.0=normal, 0=Hormuz closed, 0.4=reroute]</t>
  </si>
  <si>
    <t>Mirror of Japan oil import volume. CommodityCo cannot export through Hormuz in Phase1. Phase2: partial reroute but at higher transport cost.</t>
  </si>
  <si>
    <t>CommodityCo export price index [1.0=normal] — same as oil price</t>
  </si>
  <si>
    <t>CommodityCo receives higher price in Phase2 (scarcity premium). Phase1: cannot sell at any price (blocked). Phase2: sells at 2.2× normal.</t>
  </si>
  <si>
    <t>SRF / FIMA / DEBT CEILING PARAMETERS</t>
  </si>
  <si>
    <t>SRF administered rate (%) — Fed price ceiling on repo</t>
  </si>
  <si>
    <t>Standing Repo Facility rate. Current: 4.00%. When yield_stress &gt; SRF_rate, Fed absorbs excess demand. yield_effective = MIN(yield_stress, SRF_rate). Real: $26B active April 2026 → toy scale 0.24B.</t>
  </si>
  <si>
    <t>SRF sensitivity (absorption per unit yield gap, $B)</t>
  </si>
  <si>
    <t>SRF_absorption = SRF_gap × SRF_sensitivity. Calibrated: $26B at ~15bps gap → sensitivity ≈ 1.7B per bp. Toy scale: 0.24B / 0.15bps = 1.6B per unit gap.</t>
  </si>
  <si>
    <t>FIMA active flag [1=active, 0=inactive]</t>
  </si>
  <si>
    <t>Foreign Official Repo: foreign CBs repo TSY to Fed instead of selling outright. Suppresses Path B yield spike. Currently active (April 2026). FIMA pool = $337.5B → toy scale 3.1B.</t>
  </si>
  <si>
    <t>FIMA bypass fraction [0-1] — fraction of TSY sold → repos to Fed instead</t>
  </si>
  <si>
    <t>When FIMA active: TSY_sold_effective = TSY_sold × (1 - bypass_fraction). Remainder repos to FedCo. Calibrated: $337.5B / $1.85T basis trade = 18.2%. Toy scale: 3.1B / 80B = 3.9%. Use 0.20 as round calibration.</t>
  </si>
  <si>
    <t>Debt ceiling active flag [1=timing distortion active, 0=normal]</t>
  </si>
  <si>
    <t>When active: GovCo front-loads issuance, TGA swells, reserves flood system. Later spending drains TGA → reserves drain → repo rates rise. 2021 dynamic. Currently always-on as background constraint.</t>
  </si>
  <si>
    <t>Debt ceiling front-load factor (issuance multiplier in ceiling period)</t>
  </si>
  <si>
    <t>GovCo_issuance_t = base × frontload_factor. Next period reduced. Creates reserve glut → ON RRP surge → eventual drain. 1.3 = 30% front-loading (consistent with 2020-2021 observed pattern).</t>
  </si>
  <si>
    <t>TGA balance Y0 ($B toy scale) — Treasury cash at Fed</t>
  </si>
  <si>
    <t>TGA Y0 = 15B (toy scale; real ~$500B normal, peaked $1.6T in 2021). Swells when front-loading, drains when spending flows. When TGA drains → reserves rise → ON RRP absorbs excess.</t>
  </si>
  <si>
    <t>Reserve threshold above which ON RRP absorbs excess ($B toy scale)</t>
  </si>
  <si>
    <t>When reserves &gt; threshold, money market funds park at ON RRP. Temporarily depresses private repo rates (reserve glut discount). Toy scale: 180B (real: ~$2.5T Fed balance sheet reserve threshold).</t>
  </si>
  <si>
    <t>ON RRP rate discount on private repo when reserves &gt; threshold (%)</t>
  </si>
  <si>
    <t>When reserves &gt; RRP_threshold: repo_rate -= RRP_discount. Temporary suppression. When TGA drains end and reserves normalize: discount disappears, repo rates snap back. Creates the 2021-2022 dynamic.</t>
  </si>
  <si>
    <t>REAL-WORLD CALIBRATION DATA  |  Part IV: AmeriCo Internal Sectors  |  2019-2024</t>
  </si>
  <si>
    <t>Sources: BEA NIPA, BLS, Fed Z.1, FRED. All values are annual. Used to validate toy model stylized trajectories.</t>
  </si>
  <si>
    <t>Measure</t>
  </si>
  <si>
    <t>Toy Model Analog</t>
  </si>
  <si>
    <t>Source / FRED Series</t>
  </si>
  <si>
    <t>2019</t>
  </si>
  <si>
    <t>2020</t>
  </si>
  <si>
    <t>2021</t>
  </si>
  <si>
    <t>2022</t>
  </si>
  <si>
    <t>2023</t>
  </si>
  <si>
    <t>2024</t>
  </si>
  <si>
    <t>1. WAGE SHARE / LABOR INCOME  →  HouseholdCo thesis: wage share falling as FinServCo grows</t>
  </si>
  <si>
    <t>Wage &amp; salary share of GDI (%)</t>
  </si>
  <si>
    <t>HouseholdCo wage share</t>
  </si>
  <si>
    <t>BEA NIPA Table 1.10 / FRED W270RE1A156NBEA</t>
  </si>
  <si>
    <t xml:space="preserve">  ↳ Compensation of employees (wages+salaries) as % of Gross Domestic Income. Stable but structurally below 50%. Pre-2000 was ~51-52%.</t>
  </si>
  <si>
    <t>Nonfarm business labor share (BLS, index 2012=100)</t>
  </si>
  <si>
    <t>BLS PRS85006173 / FRED LABSHPUSA156NRUG</t>
  </si>
  <si>
    <t xml:space="preserve">  ↳ Structural decline from ~105 in 2000. Each FedCo absorption episode sees temporary recovery then drift lower.</t>
  </si>
  <si>
    <t>Manufacturing compensation ($B, annual)</t>
  </si>
  <si>
    <t>ManuCo wage bill</t>
  </si>
  <si>
    <t>BEA NIPA / BLS QCEW manufacturing</t>
  </si>
  <si>
    <t xml:space="preserve">  ↳ Real-world ~$900-1,040B. Growing nominally but shrinking as share of GDP. 2020 COVID dip then recovery driven by CHIPS Act.</t>
  </si>
  <si>
    <t>Finance/insurance compensation ($B, annual)</t>
  </si>
  <si>
    <t>FinServCo wage bill</t>
  </si>
  <si>
    <t>BEA GDP by Industry / FRED</t>
  </si>
  <si>
    <t xml:space="preserve">  ↳ Financial sector wages growing ~5-7%/yr. Faster than mfg. FISIM income expansion drives compensation growth.</t>
  </si>
  <si>
    <t>Info tech sector compensation ($B, annual)</t>
  </si>
  <si>
    <t>ProdServiceCo wage bill</t>
  </si>
  <si>
    <t>BEA GDP by Industry</t>
  </si>
  <si>
    <t xml:space="preserve">  ↳ Tech sector wages up ~35% 2019-2024. AI/cloud buildout. Positive but not sufficient to offset mfg stagnation vs FISIM growth.</t>
  </si>
  <si>
    <t>2. MANUFACTURING INVESTMENT  →  ManuCo thesis: investment crowded out as return differential widens</t>
  </si>
  <si>
    <t>Mfg structures investment ($B nominal)</t>
  </si>
  <si>
    <t>ManuCo capital investment</t>
  </si>
  <si>
    <t>BEA Table 5.4.5 / FRED C307RC1A027NBEA</t>
  </si>
  <si>
    <t xml:space="preserve">  ↳ CHIPS Act + IRA drove surge 2022-2024. BUT: concentrated in semiconductors/batteries. Broader mfg share still falling. 2024 = $234.8B.</t>
  </si>
  <si>
    <t>Mfg investment / total private fixed investment (%)</t>
  </si>
  <si>
    <t>ManuCo investment share</t>
  </si>
  <si>
    <t>BEA Table 5.4.5 derived</t>
  </si>
  <si>
    <t xml:space="preserve">  ↳ Share rising from CHIPS/IRA but from very low base. IP/software investment (ProdServiceCo) = 31% of total vs mfg structures = 7%.</t>
  </si>
  <si>
    <t>IP products investment / private fixed investment (%)</t>
  </si>
  <si>
    <t>ProdServiceCo investment share</t>
  </si>
  <si>
    <t>BEA / Richmond Fed</t>
  </si>
  <si>
    <t xml:space="preserve">  ↳ IP (software+R&amp;D+entertainment) = 31.3% of private fixed investment Q1 2024. Grows 3-4x faster than mfg structures.</t>
  </si>
  <si>
    <t>3. TECH/FINSERV VALUATION  →  ProdServiceCo thesis: equity rises with FedCo discount rate suppression</t>
  </si>
  <si>
    <t>IT sector share of S&amp;P 500 market cap (%)</t>
  </si>
  <si>
    <t>ProdServiceCo equity / GDP analog</t>
  </si>
  <si>
    <t>S&amp;P Dow Jones / Bloomberg</t>
  </si>
  <si>
    <t xml:space="preserve">  ↳ IT + comm services = ~44% of S&amp;P 500 end-2024. Rose from 33% in 2019. ~2x market cap vs 5yr avg revenue growth. Valuation re-rate driven by rate suppression.</t>
  </si>
  <si>
    <t>S&amp;P 500 IT sector P/E (trailing)</t>
  </si>
  <si>
    <t>ProdServiceCo P/E ratio</t>
  </si>
  <si>
    <t>FactSet / Bloomberg</t>
  </si>
  <si>
    <t xml:space="preserve">  ↳ P/E compressed 2022 when Fed raised rates (22x). Expanded 2020-21 with zero rates (40x). Confirms DCF identity: FedCo rate -&gt; ProdServiceCo valuation.</t>
  </si>
  <si>
    <t>Total US stock market cap / GDP (Buffett indicator, %)</t>
  </si>
  <si>
    <t>Financial assets / productive base</t>
  </si>
  <si>
    <t>Fed Z.1 / FRED</t>
  </si>
  <si>
    <t xml:space="preserve">  ↳ 195% peak 2020 (COVID QE). 222% 2021. Reset 2022 with rate hikes. Re-expanded 2024. Each FedCo absorption cycle visible in ratio.</t>
  </si>
  <si>
    <t>4. FINANCIAL SECTOR VALUE-ADD / FISIM  →  FinServCo thesis: FISIM income grows without productive base expansion</t>
  </si>
  <si>
    <t>Finance &amp; insurance value added / GDP (%)</t>
  </si>
  <si>
    <t>FinServCo FISIM share of GDP</t>
  </si>
  <si>
    <t>BEA GDP by Industry Table</t>
  </si>
  <si>
    <t xml:space="preserve">  ↳ Financial sector value added = 8.5% of GDP 2024, up from 4% in 1980. Most of growth is FISIM (imputed intermediation margin). Not productive output.</t>
  </si>
  <si>
    <t>Domestic financial sector total assets / GDP</t>
  </si>
  <si>
    <t>FinServCo balance sheet / GDP</t>
  </si>
  <si>
    <t>Fed Z.1 / FRED DDDI06USA156NWDB</t>
  </si>
  <si>
    <t xml:space="preserve">  ↳ Financial sector assets ~4.9x GDP. Each basis point of spread income on $90T+ gross financial assets = ~$90B measured GDP. Pure intermediation counted as value-add.</t>
  </si>
  <si>
    <t>5. HOUSEHOLD DEBT &amp; WEALTH DIVERGENCE  →  HouseholdCo thesis: nominal wealth up, real backing flat</t>
  </si>
  <si>
    <t>Household net worth ($T)</t>
  </si>
  <si>
    <t>HouseholdCo total assets</t>
  </si>
  <si>
    <t>Fed Z.1 Table B.101</t>
  </si>
  <si>
    <t xml:space="preserve">  ↳ Net worth $169.4T Q4 2024 (Fed Z.1). Up 43% from 2019. Almost entirely driven by equity + housing price appreciation, not wage accumulation.</t>
  </si>
  <si>
    <t>Household mortgage debt ($T)</t>
  </si>
  <si>
    <t>HouseholdCo mortgage liabilities</t>
  </si>
  <si>
    <t>Fed Z.1 Table D.3</t>
  </si>
  <si>
    <t xml:space="preserve">  ↳ Mortgage debt $13.1T 2024. Household debt $20.2T total Q4 2024 (Fed Z.1). Growing alongside nominal wealth but as % of wages rising.</t>
  </si>
  <si>
    <t>Household debt / disposable personal income (%)</t>
  </si>
  <si>
    <t>HouseholdCo debt / wage income</t>
  </si>
  <si>
    <t>Fed Z.1 / BEA</t>
  </si>
  <si>
    <t xml:space="preserve">  ↳ Debt burden ~97-99% of DPI. Fell briefly 2021 on stimulus income. Back to trend. Confirms HouseholdCo debt/wage rising.</t>
  </si>
  <si>
    <t>6. AMERIBANKCO REPO ROUTING  →  AmeriBankCo thesis: reserves route to FinServCo not productive lending</t>
  </si>
  <si>
    <t>Fed reserve balances at banks ($T)</t>
  </si>
  <si>
    <t>AmeriBankCo FedCo reserves</t>
  </si>
  <si>
    <t>FRED WRESBAL</t>
  </si>
  <si>
    <t xml:space="preserve">  ↳ Reserve glut 2020-21 from QE. Banks could not deploy productively. SLR constraint: routed to repo. 2022 QT drained but returned via bank stress/BTFP.</t>
  </si>
  <si>
    <t>FICC sponsored repo volume ($T, avg daily)</t>
  </si>
  <si>
    <t>AmeriBankCo repo routing intensity</t>
  </si>
  <si>
    <t>DTCC / OFR</t>
  </si>
  <si>
    <t xml:space="preserve">  ↳ DTCC sponsored repo: $2.2T daily average 2024. Up 2.4x from 2019. Grows with each reserve creation episode. Confirmed: SLR valve routing.</t>
  </si>
  <si>
    <t>Bank C&amp;I loans / total bank assets (%)</t>
  </si>
  <si>
    <t>AmeriBankCo productive lending share</t>
  </si>
  <si>
    <t>Fed H.8 / FRED</t>
  </si>
  <si>
    <t xml:space="preserve">  ↳ Commercial &amp; industrial loans falling as share of bank assets. Repo + securities growing faster. Confirms AmeriBankCo routing intensity rising.</t>
  </si>
  <si>
    <t>KEY THESIS VALIDATION SUMMARY</t>
  </si>
  <si>
    <t>✓ CONFIRMED</t>
  </si>
  <si>
    <t>Wage share structurally below 50% and flat/falling. FinServCo compensation growing faster than ManuCo.</t>
  </si>
  <si>
    <t>ProdServiceCo equity valuation rose and fell with FedCo rate cycle (2020-21 up, 2022 down, 2023-24 up again).</t>
  </si>
  <si>
    <t>FICC sponsored repo volume 2.4x since 2019. AmeriBankCo routing reserves to FinServCo confirmed.</t>
  </si>
  <si>
    <t>HH net worth +43% since 2019 on asset prices, not wages. Debt/income ratio rising back to 99%.</t>
  </si>
  <si>
    <t>⚠ PARTIAL</t>
  </si>
  <si>
    <t>ManuCo investment share: CHIPS Act surge 2022-2024 complicates clean decline story. Concentration in semis not broad mfg. Sector-level PWT needed.</t>
  </si>
  <si>
    <t>FISIM series: BEA GDP by industry shows finance = 8.5% but does not separate FISIM from genuine intermediation. BEA FISIM adjustment series (NIPA Table 7.4) needed for clean number.</t>
  </si>
  <si>
    <t>✗ NOT YET</t>
  </si>
  <si>
    <t>FinServCo LP stake in HedgeCo: SEC Form PF data not public at required granularity. Barth-Beltran is best proxy. OFR cleared repo data requires agreement.</t>
  </si>
  <si>
    <t>AmeriCo  |  Reserve Issuer  |  Treasury Issuer  |  Productive Base</t>
  </si>
  <si>
    <t>ASSETS</t>
  </si>
  <si>
    <t>FISIM-adjusted. κ divergence theorem: κ_paper rises faster than κ_real as FISIM contamination grows.</t>
  </si>
  <si>
    <t>Outward FDI ($B)</t>
  </si>
  <si>
    <t>Channel One legacy: AmeriCo lends long via FDI while borrowing short via reserve accumulation (Kindleberger 1966).</t>
  </si>
  <si>
    <t>Other foreign claims ($B)</t>
  </si>
  <si>
    <t>TOTAL ASSETS</t>
  </si>
  <si>
    <t>LIABILITIES</t>
  </si>
  <si>
    <t>Official reserve liabilities ($B)  [SELLER 3: sold after FinServCo + AmeriBankCo exhausted]</t>
  </si>
  <si>
    <t>Foreign CB holdings. Third seller in chain. Drains after HC_delta &gt; 90B (FinServCo 60 + AmeriBankCo 30 exhausted). Represents reserve drawdown.</t>
  </si>
  <si>
    <t>Private foreign Treasury (TIC-visible, $B)</t>
  </si>
  <si>
    <t>Barth-Beltran TIC-visible portion: $423B end-Y8. TVR = this / total basis trade.</t>
  </si>
  <si>
    <t>Private foreign Treasury (TIC-INVISIBLE, $B)</t>
  </si>
  <si>
    <t>Basis trade exposure invisible via FICC novation. Barth-Beltran: $1,427B invisible end-Y8.</t>
  </si>
  <si>
    <t>Other foreign dollar claims ($B)</t>
  </si>
  <si>
    <t>TOTAL LIABILITIES</t>
  </si>
  <si>
    <t>NET INTERNATIONAL INVESTMENT POSITION (NIIP)</t>
  </si>
  <si>
    <t>NIIP = Total Assets - Total Liabilities ($B)</t>
  </si>
  <si>
    <t>Real-world: US NIIP = -$26.5T end-2024. Toy model scaled ratios.</t>
  </si>
  <si>
    <t>FLOWS</t>
  </si>
  <si>
    <t>Each year's deficit = net new claims issued on AmeriCo. Stock accumulates without ceiling.</t>
  </si>
  <si>
    <t>FRACTIONAL MEASURES</t>
  </si>
  <si>
    <t>κ_paper = K_total / Y_productive</t>
  </si>
  <si>
    <t>Rising. FISIM contamination means κ_real diverges lower. Core κ divergence theorem claim.</t>
  </si>
  <si>
    <t>NIIP / GDP</t>
  </si>
  <si>
    <t>Interest burden at 4%: ~$300B/yr on official reserves alone by Y8.</t>
  </si>
  <si>
    <t>TVR = TIC-visible / (TIC-visible + TIC-invisible)</t>
  </si>
  <si>
    <t>Barth-Beltran: TVR = $423B / $1,850B = 22.9% end-Y8. Structural gauge failure.</t>
  </si>
  <si>
    <t>GovCo  |  AmeriCo Treasury &amp; Finance Ministry  |  Sovereign Debt Issuer</t>
  </si>
  <si>
    <t>Notes</t>
  </si>
  <si>
    <t>Y10+</t>
  </si>
  <si>
    <t>GovCo financial assets / cash ($B)  [stock: Y0=20, decremented by fiscal deficit]</t>
  </si>
  <si>
    <t>Stock of liquid government assets. Y0 stylized. Depleted by annual fiscal deficit.</t>
  </si>
  <si>
    <t>Other government assets ($B)</t>
  </si>
  <si>
    <t>Reserves, land, enterprise stakes</t>
  </si>
  <si>
    <t>GovCo bonds held by FedCo ($B)  [SFC: = FedCo Treasury holdings]</t>
  </si>
  <si>
    <t>FedCo!Treasury r4</t>
  </si>
  <si>
    <t>Foreign private holdings via basis trade (HedgeCo cash TSY, $B)  [SFC: = HedgeCo!cash_treasury]</t>
  </si>
  <si>
    <t>HedgeCo is the bond HOLDER. GlobalBankCo is only the financier (repo). Ownership and financing are distinct. SFC: = HedgeCo row 4.</t>
  </si>
  <si>
    <t>Official reserve liabilities ($B)  [= AmeriCo r10 = foreign central bank Treasury holdings]</t>
  </si>
  <si>
    <t>AmeriCo official reserve liabilities (foreign CB holdings)</t>
  </si>
  <si>
    <t>Domestic: HouseholdCo direct TSY ($B)  [= HouseholdCo!direct_treasury]</t>
  </si>
  <si>
    <t>Retail T-bills, MMF, savings bonds. 15% of GovCo total. SFC: = HouseholdCo!r8.</t>
  </si>
  <si>
    <t>Domestic: InsuranceCo TSY ($B)  [= InsuranceCo!TSY_portfolio]</t>
  </si>
  <si>
    <t>Life insurance + DB pensions (ex-FinServCo LP chain). 12% of GovCo total.</t>
  </si>
  <si>
    <t>FinServCo long-duration TSY ($B)  [= FinServCo!r5]</t>
  </si>
  <si>
    <t>FinServCo pension/insurance TSY portfolio. Shrinks as HedgeCo scales (seller chain). SFC mirror.</t>
  </si>
  <si>
    <t>AmeriBankCo HQLA Treasury ($B)  [= AmeriBankCo!r6]</t>
  </si>
  <si>
    <t>AmeriBankCo LCR/HQLA Treasury holdings. Shrinks in reallocation chain (seller 2). SFC mirror.</t>
  </si>
  <si>
    <t>OtherBankCo TSY ($B)  [RESIDUAL ABSORBER: GovCo total − all 7 named holders]</t>
  </si>
  <si>
    <t>Y0=0B. Absorbs new GovCo issuance not taken by other named holders. True swing buyer.</t>
  </si>
  <si>
    <t>True residual (= 0 by construction — OtherBankCo absorbs remainder)</t>
  </si>
  <si>
    <t>GovCo total - all 8 named holders. Must be zero. If non-zero: OtherBankCo formula error.</t>
  </si>
  <si>
    <t>TOTAL LIABILITIES (GovCo bonds outstanding, $B)</t>
  </si>
  <si>
    <t>Grows via fiscal deficit each year. The whole governs the parts.</t>
  </si>
  <si>
    <t>Government spending ($B)</t>
  </si>
  <si>
    <t>Interest on outstanding bonds ($B)</t>
  </si>
  <si>
    <t>Rate times total bonds outstanding prior year</t>
  </si>
  <si>
    <t>Fiscal deficit ($B) = spending + interest - revenue</t>
  </si>
  <si>
    <t>Debt / GDP</t>
  </si>
  <si>
    <t>Foreign-held share of GovCo bonds (visible + invisible)</t>
  </si>
  <si>
    <t>FedCo-held share of GovCo bonds</t>
  </si>
  <si>
    <t>Interest burden / tax revenue (debt service ratio)</t>
  </si>
  <si>
    <t>TIC-invisible / foreign private chain (reporting gap -- ClearCo novated / total repo)</t>
  </si>
  <si>
    <t>Rising = structural reporting gap widening</t>
  </si>
  <si>
    <t>Effective bond supply for basis trade (= new issuance × duration mix)</t>
  </si>
  <si>
    <t>When yield exceeds 5.5% threshold, GovCo shifts to bills. Effective bond collateral = fiscal_deficit × MEASURES!duration_mix. Bills do not serve as basis trade collateral.</t>
  </si>
  <si>
    <t>HouseholdCo  |  Wage Earners + Asset Holders  |  Dual Exposure</t>
  </si>
  <si>
    <t>Wage income from ManuCo+ProdServiceCo+FinServCo. Pension assets in FinServCo (LP channel). Nominal wealth rising via asset prices; real productive backing flat. Wage share falling.</t>
  </si>
  <si>
    <t>Pension assets — claim on FinServCo net worth ($B)  [SFC: FinServCo assets − obligations]</t>
  </si>
  <si>
    <t>HH holds FinServCo NET worth, not gross. = FinServCo total assets - pension obligations - repo payable.</t>
  </si>
  <si>
    <t>Housing equity ($B)</t>
  </si>
  <si>
    <t>Real asset. Sensitive to interest rates (mortgage cost = FedCo rate). Rises with suppressed rates.</t>
  </si>
  <si>
    <t>Deposits at AmeriBankCo ($B)  [SFC: Identity 13 partial]</t>
  </si>
  <si>
    <t>Checking + savings. SFC: HouseholdCo deposit = AmeriBankCo deposit liability (domestic HH portion).</t>
  </si>
  <si>
    <t>Direct Treasury holdings ($B)  [SFC: GovCo holder HH_direct]</t>
  </si>
  <si>
    <t>Y0=45.0B (11.8% of GovCo). Grows proportionally with new GovCo issuance.</t>
  </si>
  <si>
    <t>Mortgage debt ($B)</t>
  </si>
  <si>
    <t>Sensitive to rates. Cheaper when FedCo suppresses. Housing equity inflated by same suppression.</t>
  </si>
  <si>
    <t>Consumer + student debt ($B)</t>
  </si>
  <si>
    <t>Rising. Real wages flat -&gt; more debt to maintain consumption.</t>
  </si>
  <si>
    <t>NET WORTH = Total Assets − Total Liabilities</t>
  </si>
  <si>
    <t>HH net worth. Rises nominally via asset price inflation. Flat in real terms if wage share falls.</t>
  </si>
  <si>
    <t>Wage income from ManuCo ($B)  [SFC: = ManuCo!wage_bill]</t>
  </si>
  <si>
    <t>ManuCo wage bill. Declining. ASSUMPTIONS row 59.</t>
  </si>
  <si>
    <t>Wage income from ProdServiceCo ($B)  [SFC: = ProdServiceCo!wage_bill]</t>
  </si>
  <si>
    <t>ProdServiceCo wage bill. Growing. ASSUMPTIONS row 61.</t>
  </si>
  <si>
    <t>Wage income from FinServCo ($B)  [SFC: = FinServCo!wage_bill]</t>
  </si>
  <si>
    <t>FinServCo wage bill. Growing with FISIM. ASSUMPTIONS row 63.</t>
  </si>
  <si>
    <t>TOTAL WAGE INCOME ($B)  [SFC Identity 12 total]</t>
  </si>
  <si>
    <t>Sum of all three. SFC: must = ManuCo + ProdServiceCo + FinServCo wage bills.</t>
  </si>
  <si>
    <t>Wage share of GDP (total HouseholdCo wages / GDP)</t>
  </si>
  <si>
    <t>CORE THESIS MEASURE. Falling as FinServCo grows relative to ManuCo. FedCo absorptions do not expand wage base.</t>
  </si>
  <si>
    <t>ManuCo wage share of total wages</t>
  </si>
  <si>
    <t>Declining. The picker's share of household income falling.</t>
  </si>
  <si>
    <t>Nominal wealth / wage income ratio</t>
  </si>
  <si>
    <t>Rising. Asset price inflation outpaces wage growth. Wealth looks fine. Income pressure growing.</t>
  </si>
  <si>
    <t>Debt / wage income</t>
  </si>
  <si>
    <t>Rising. Debt serviced from wages. As wage share falls, debt burden rises.</t>
  </si>
  <si>
    <t>ManuCo  |  Physical Productive Base  |  The Orange Picker</t>
  </si>
  <si>
    <t>Plant, equipment, tradeable output. Wage bill = primary HouseholdCo income source. Investment crowded out as return differential widens vs FinServCo.</t>
  </si>
  <si>
    <t>Physical capital stock ($B)</t>
  </si>
  <si>
    <t>ManuCo share of AmeriCo K_real. Declining as investment routes to ProdServiceCo/FinServCo.</t>
  </si>
  <si>
    <t>Trade receivables ($B)</t>
  </si>
  <si>
    <t>Export earnings. Tradeable goods output.</t>
  </si>
  <si>
    <t>Corporate debt ($B)</t>
  </si>
  <si>
    <t>Equipment financing, working capital. Real-world: US mfg debt load rising.</t>
  </si>
  <si>
    <t>INCOME FLOWS</t>
  </si>
  <si>
    <t>Wage bill ($B)  [SFC: = HouseholdCo!manu_wages]</t>
  </si>
  <si>
    <t>From ASSUMPTIONS row 59. Declining. SFC: must equal HouseholdCo manu wage income.</t>
  </si>
  <si>
    <t>Capital investment ($B)</t>
  </si>
  <si>
    <t>ManuCo capex. = GDP * investment share. Declining as return differential routes capital to FinServCo.</t>
  </si>
  <si>
    <t>Output / revenue ($B)</t>
  </si>
  <si>
    <t>Productive output. FISIM-clean -- no financial spread income.</t>
  </si>
  <si>
    <t>Wage bill / GDP (wage share, ManuCo)</t>
  </si>
  <si>
    <t>Declining. Core thesis: FedCo absorption episodes do not expand ManuCo wage base.</t>
  </si>
  <si>
    <t>Capital investment / GDP</t>
  </si>
  <si>
    <t>ManuCo investment share. Structural decline = picker aging.</t>
  </si>
  <si>
    <t>Return on capital (output / capital stock)</t>
  </si>
  <si>
    <t>Falling IRR. At high kappa, return to productive investment &lt; return to financial intermediation.</t>
  </si>
  <si>
    <t>EQUITY &amp; RETAINED EARNINGS</t>
  </si>
  <si>
    <t>Retained earnings ($B) = output − wages − debt interest</t>
  </si>
  <si>
    <t>Capital income after wages and debt service. Reinvested or distributed.</t>
  </si>
  <si>
    <t>Net worth = Capital stock − Corporate debt + Retained earnings</t>
  </si>
  <si>
    <t>ManuCo equity. Declining as IRR falls and retained earnings compress.</t>
  </si>
  <si>
    <t>ProdServiceCo  |  Technology &amp; Software  |  Real TFP Gains</t>
  </si>
  <si>
    <t>IP, software, AI infrastructure. Equity-funded. Valuation rises mechanically as FedCo suppresses discount rate. TFP gains real but racing against κ accumulation.</t>
  </si>
  <si>
    <t>IP &amp; software capital stock ($B)</t>
  </si>
  <si>
    <t>ProdServiceCo share of AmeriCo K_real. Growing.</t>
  </si>
  <si>
    <t>Equity market valuation ($B)</t>
  </si>
  <si>
    <t>annual output × P/E ratio (ASSUMPTIONS row 66). Rises as FedCo absorbs and discount rate falls.</t>
  </si>
  <si>
    <t>TOTAL ASSETS (book)</t>
  </si>
  <si>
    <t>Equity held by investors ($B)  [SFC: FinServCo equity portfolio + HH direct equity]</t>
  </si>
  <si>
    <t>Wired to actual holders. FinServCo pension equity portfolio + HH direct equity (fraction of HH net worth).</t>
  </si>
  <si>
    <t>Private credit debt to FinServCo ($B)  [SFC ID27: = FinServCo!PC_loans]</t>
  </si>
  <si>
    <t>Mirror of FinServCo PC loan. Exact equality enforced by SFC Identity 27.</t>
  </si>
  <si>
    <t>External equity + PC debt.</t>
  </si>
  <si>
    <t>Wage bill ($B)  [SFC: = HouseholdCo!prod_wages]</t>
  </si>
  <si>
    <t>From ASSUMPTIONS row 61. Growing.</t>
  </si>
  <si>
    <t>R&amp;D + software + AI capex. Equity-funded. Grows independently of FedCo cycle.</t>
  </si>
  <si>
    <t>Technology services, software. FISIM-clean.</t>
  </si>
  <si>
    <t>Wage bill / GDP</t>
  </si>
  <si>
    <t>Growing. ProdServiceCo expanding wage share. But: does it offset ManuCo decline? Key empirical question.</t>
  </si>
  <si>
    <t>Equity valuation / GDP (P/E-adjusted)</t>
  </si>
  <si>
    <t>Rising with FedCo suppression. The asset price inflation channel. Falls sharply in stress (Y10+).</t>
  </si>
  <si>
    <t>Output growth rate (TFP proxy)</t>
  </si>
  <si>
    <t>Real TFP gains. Positive. Key question: large enough to offset ManuCo contraction + FISIM inflation?</t>
  </si>
  <si>
    <t>-</t>
  </si>
  <si>
    <t>FinServCo  |  Pension Funds + Insurance  |  HedgeCo LP  |  FISIM Income</t>
  </si>
  <si>
    <t>Structural long-duration Treasury holder. LP in HedgeCo (basis trade). Long equities. In stress: yield spike hits all three simultaneously. FISIM spread income counted as GDP but not productive output.</t>
  </si>
  <si>
    <t>Long-duration Treasury portfolio ($B)  [DYNAMIC: shrinks as HedgeCo scales]</t>
  </si>
  <si>
    <t>FinServCo is the explicit SELLER. TSY = TSY_Y0(60) - (HedgeCo_current - HedgeCo_Y0). Shrinks dollar-for-dollar as HedgeCo basis trade scales. Floor = 0 (cannot sell more than owned). Proceeds flow to equity portfolio (row 6).</t>
  </si>
  <si>
    <t>Equity portfolio ($B)  [BASE + TSY sale proceeds reinvested as HedgeCo scales]</t>
  </si>
  <si>
    <t>Long equities. Base = 15% of ProdServiceCo equity (FedCo rate suppression). PLUS proceeds from Treasury sales as basis trade scales. This is the Part IV thesis link: FinServCo sells bonds → buys equity → ProdServiceCo valuation rises.</t>
  </si>
  <si>
    <t>LP stake in HedgeCo ($B)  [SFC: Identity 17]</t>
  </si>
  <si>
    <t>Pension fund LP in basis trade vehicle. = HedgeCo equity * LP fraction (ASSUMPTIONS row 67). In stress: LP losses direct hit.</t>
  </si>
  <si>
    <t>Repo receivable from AmeriBankCo ($B)  [SFC: Identity 14]</t>
  </si>
  <si>
    <t>FedCo reserves -&gt; AmeriBankCo -&gt; repo -&gt; FinServCo. Each FedCo absorption episode loads this.</t>
  </si>
  <si>
    <t>Private credit loans to ProdServiceCo ($B)  [ILLIQUID | SFC: = ProdServiceCo!priv_credit_debt]</t>
  </si>
  <si>
    <t>5-7yr lockup. Not in TIC, not in H.8. Funded via AmeriBankCo repo. SFC: mirror identity with ProdServiceCo PC debt.</t>
  </si>
  <si>
    <t>All on-balance-sheet assets incl. PC loans.</t>
  </si>
  <si>
    <t>Pension obligations TOTAL ($B)</t>
  </si>
  <si>
    <t>Total pension liability = stable + callable.</t>
  </si>
  <si>
    <t xml:space="preserve">  → Callable portion ($B) = callable_frac × total  [HH max redemption request]</t>
  </si>
  <si>
    <t>What HH can demand back. Gate fires when callable &gt; liquid TSY assets.</t>
  </si>
  <si>
    <t>Repo payable to AmeriBankCo ($B)  [SFC: Identity 14]</t>
  </si>
  <si>
    <t>Mirror of AmeriBankCo repo to FinServCo.</t>
  </si>
  <si>
    <t>Pension total + repo payable.</t>
  </si>
  <si>
    <t>LIQUID ASSETS = TSY portfolio only  [equity excluded — not cash]</t>
  </si>
  <si>
    <t>Only TSY is liquid. Equity ≠ cash. Blue Owl gating is precisely because illiquid PC book &gt; liquid TSY.</t>
  </si>
  <si>
    <t>HH redemption REQUEST ($B) = callable portion</t>
  </si>
  <si>
    <t>What HH demands back. Gate fires when this exceeds liquid assets.</t>
  </si>
  <si>
    <t>ACTUAL PAYOUT ($B) = MIN(liquid assets, request)  [gate applied]</t>
  </si>
  <si>
    <t>Capped at liquid TSY. Shortfall = gated. SFC: TSY sold for payout — buyer = AmeriBankCo or FedCo.</t>
  </si>
  <si>
    <t>GATE STATUS  [GATE=stabilizing brake | GATE FAILED=cascade trigger]</t>
  </si>
  <si>
    <t>Gate is NOT automatic cascade trigger. Gate stops the fire sale. Cascade fires only if: (1) gate persists AND (2) PC defaults occur simultaneously. Single-period gate = brake, not failure.</t>
  </si>
  <si>
    <t>Gate persistence note: cascade requires illiquidity ratio &gt; 5 AND PC default shock</t>
  </si>
  <si>
    <t>Single period gate = stabilization. Multi-period + PC defaults = Blue Owl cascade. This is the reviewer's brake vs trigger distinction.</t>
  </si>
  <si>
    <t>Illiquidity ratio = PC loans / liquid TSY  [&gt; 1 → gate likely]</t>
  </si>
  <si>
    <t>Core Blue Owl measure. Rising as PC book grows and TSY sold off.</t>
  </si>
  <si>
    <t>FISIM / GDP</t>
  </si>
  <si>
    <t>Rising. κ_paper inflation without κ_real expansion.</t>
  </si>
  <si>
    <t>Duration mismatch (TSY / pension obligations)</t>
  </si>
  <si>
    <t>Falling as TSY sold to meet redemptions.</t>
  </si>
  <si>
    <t>FISIM spread income ($B)</t>
  </si>
  <si>
    <t>TSY spread + PC carry + insurance float. Counted as GDP.</t>
  </si>
  <si>
    <t>LP exposure / total assets</t>
  </si>
  <si>
    <t>Rising = more basis trade exposure inside pension system.</t>
  </si>
  <si>
    <t>STRESS TRANSMISSION (Y10+)</t>
  </si>
  <si>
    <t>TSY portfolio MTM loss ($B)</t>
  </si>
  <si>
    <t>Yield spike hits TSY portfolio.</t>
  </si>
  <si>
    <t>LP loss from HedgeCo unwind ($B)</t>
  </si>
  <si>
    <t>LP stake marks down.</t>
  </si>
  <si>
    <t>PrivCred default loss ($B) = PC book × shock</t>
  </si>
  <si>
    <t>AI/software stress. Exogenous.</t>
  </si>
  <si>
    <t>TOTAL STRESS LOSS ($B)</t>
  </si>
  <si>
    <t>Three-sided hit in stress.</t>
  </si>
  <si>
    <t>AmeriBankCo  |  Regulated Intermediary  |  SLR Valve  |  Passive Conduit</t>
  </si>
  <si>
    <t>Receives FedCo reserves. SLR-constrained. Routes reserves to FinServCo via repo -- not to ManuCo capex. The valve, not the decision-maker.</t>
  </si>
  <si>
    <t>Repo to FinServCo ($B)  [SFC: Identity 14 = FinServCo repo payable]</t>
  </si>
  <si>
    <t>FedCo reserves -&gt; AmeriBankCo -&gt; repo -&gt; FinServCo. SLR makes this most capital-efficient. Y0 from ASSUMPTIONS row 68.</t>
  </si>
  <si>
    <t>Treasury holdings (HQLA, $B)  [SELLER 2: sold after FinServCo TSY exhausted]</t>
  </si>
  <si>
    <t>Starts at 30B. Sold once FinServCo TSY exhausted (HC_delta &gt; 60B). Sequential seller chain: FinServCo first, then AmeriBankCo.</t>
  </si>
  <si>
    <t>Reserves at FedCo ($B)  [= FedCo!reserves. AmeriBankCo = consolidated banking sector.]</t>
  </si>
  <si>
    <t>Full FedCo reserve liability. AmeriBankCo = consolidated US banking sector.</t>
  </si>
  <si>
    <t>Loan book ($B)  [SFC: HH mortgage + HH consumer + ManuCo debt]</t>
  </si>
  <si>
    <t>Wired from borrower balance sheets. AmeriBankCo asset = sum of borrower liabilities.</t>
  </si>
  <si>
    <t>Deposits from HouseholdCo ($B)  [SFC: Identity 13. v2 FIX: wired to HouseholdCo r7]</t>
  </si>
  <si>
    <t>Household checking + savings deposits. Primary funding source.</t>
  </si>
  <si>
    <t>Deposits from ManuCo + ProdServiceCo ($B)  [SFC: Identity 13 partial]</t>
  </si>
  <si>
    <t>Corporate deposits. SFC: HouseholdCo + ManuCo + ProdServiceCo = total domestic deposits.</t>
  </si>
  <si>
    <t>Wholesale funding ($B)</t>
  </si>
  <si>
    <t>FHLB advances, commercial paper. Supplemental funding.</t>
  </si>
  <si>
    <t>EQUITY = Total Assets − Total Liabilities</t>
  </si>
  <si>
    <t>Residual. Grows as reserves/assets expand. Wholesale funding hardcoded; equity absorbs remainder.</t>
  </si>
  <si>
    <t>SLR (simplified) = Tier1 / Total Exposure</t>
  </si>
  <si>
    <t>Constraint that makes repo to FinServCo capital-efficient. When binding: valve partially closes.</t>
  </si>
  <si>
    <t>Repo to FinServCo / Total Assets (routing intensity)</t>
  </si>
  <si>
    <t>Rising = more reserves routed to financial sector vs productive lending. The crowding-out measure.</t>
  </si>
  <si>
    <t>Loan book / Total Assets (productive lending share)</t>
  </si>
  <si>
    <t>Falling as repo grows faster than loans. AmeriBankCo increasingly a conduit, not a lender.</t>
  </si>
  <si>
    <t>SRF repo liability ($B) = repo borrowed from FedCo at administered rate</t>
  </si>
  <si>
    <t>When private repo too thin/expensive: AmeriBankCo taps SRF. FedCo mirror: SRF repo asset. SFC: = FedCo!SRF_repo_asset.</t>
  </si>
  <si>
    <t>InsuranceCo  |  Life Insurance + Defined Benefit Pensions  |  Passive Long-Duration Holder</t>
  </si>
  <si>
    <t>Long-duration Treasury buyer. NOT in basis trade LP chain (that's FinServCo). Liabilities = policy reserves + annuity obligations. Passive — no repo, no derivatives.</t>
  </si>
  <si>
    <t>Long-duration Treasury portfolio ($B)  [SFC: GovCo holder INS_direct]</t>
  </si>
  <si>
    <t>Y0=27.0B (7.1% of GovCo). Grows with new issuance. Passive long-duration holder.</t>
  </si>
  <si>
    <t>Corporate bond portfolio ($B)</t>
  </si>
  <si>
    <t>Investment-grade corporates. Complement to Treasuries for yield pickup.</t>
  </si>
  <si>
    <t>Equity portfolio ($B)  [separate from FinServCo]</t>
  </si>
  <si>
    <t>Modest equity allocation. Life insurance general accounts ~10-15% equity.</t>
  </si>
  <si>
    <t>Policy reserves + annuity obligations ($B)</t>
  </si>
  <si>
    <t>Long-duration liabilities. Matched against TSY portfolio. Duration: 15-20yr.</t>
  </si>
  <si>
    <t>Short-term claims payable ($B)</t>
  </si>
  <si>
    <t>Current-period policy payouts. Low relative to reserve stock.</t>
  </si>
  <si>
    <t>EQUITY / NET WORTH</t>
  </si>
  <si>
    <t>Net worth = Total Assets − Total Liabilities</t>
  </si>
  <si>
    <t>Treasury / total assets (TSY concentration)</t>
  </si>
  <si>
    <t>High = structural vulnerability to yield spike. Same direction as FinServCo but no basis trade feedback.</t>
  </si>
  <si>
    <t>Duration match (TSY / policy reserves)</t>
  </si>
  <si>
    <t>Should be ~1.2. Falling = duration mismatch widening.</t>
  </si>
  <si>
    <t>OtherBankCo  |  Regional + Community Banks  |  Passive Treasury Holders</t>
  </si>
  <si>
    <t>All US banks except AmeriBankCo (GSIB). Hold Treasuries for LCR/liquidity. No sponsored repo. No derivatives. Funded by retail deposits. Passive in reallocation chain.</t>
  </si>
  <si>
    <t>Treasury holdings (HQLA, $B)  [RESIDUAL ABSORBER: GovCo - all named holders]</t>
  </si>
  <si>
    <t>Y0=0B. True residual = GovCo total minus all seven named holders. Swing buyer of new issuance and secondary market. Zero at Y0 by construction.</t>
  </si>
  <si>
    <t>Loan book ($B)</t>
  </si>
  <si>
    <t>Retail mortgage + SME loans. Core business. Not wired to HH/ManuCo (those go to AmeriBankCo).</t>
  </si>
  <si>
    <t>Reserves at FedCo ($B)</t>
  </si>
  <si>
    <t>Smaller share than AmeriBankCo. ~15% of FedCo total reserves.</t>
  </si>
  <si>
    <t>Retail deposits ($B)</t>
  </si>
  <si>
    <t>Primary funding. Sticky. No wholesale funding dependency (key difference from AmeriBankCo).</t>
  </si>
  <si>
    <t>FHLB advances ($B)</t>
  </si>
  <si>
    <t>Federal Home Loan Bank borrowing. Supplemental funding.</t>
  </si>
  <si>
    <t>Treasury / total assets</t>
  </si>
  <si>
    <t>LCR-driven. Relatively stable. No basis trade feedback.</t>
  </si>
  <si>
    <t>Loan book / total assets (productive lending share)</t>
  </si>
  <si>
    <t>Stays high — OtherBankCo is a real lender unlike AmeriBankCo post-QE.</t>
  </si>
  <si>
    <t>JapanCo  |  Surplus Accumulator  |  JapCBCo = Central Bank  |  JapY = Domestic Currency</t>
  </si>
  <si>
    <t>JapCBCo official FX reserves ($B)</t>
  </si>
  <si>
    <t>JapCBCo = JapanCo central bank. Flat since Y0 peak. Routing gap = CA surplus not here.</t>
  </si>
  <si>
    <t>Deposit at GlobalBankCo ($B)</t>
  </si>
  <si>
    <t>State rerouting channel. SLR entry point. SFC: = GlobalBankCo!liability_to_JapanCo.</t>
  </si>
  <si>
    <t>Productive capital (domestic, JapY-denominated, $B equiv)</t>
  </si>
  <si>
    <t>High κ_paper domestic economy. Export-led accumulation model. JapY = JapanCo domestic currency.</t>
  </si>
  <si>
    <t>JapInv project claims ($B)</t>
  </si>
  <si>
    <t>Outward project lending (BRI analog). Claims on CommodityCo sovereigns.</t>
  </si>
  <si>
    <t>Domestic monetary base (JapY)</t>
  </si>
  <si>
    <t>Sterilization bonds ($B equiv)</t>
  </si>
  <si>
    <t>Cost of sterilization rises with reserve stock. Political economy constraint on JapY revaluation.</t>
  </si>
  <si>
    <t>Routing gap (cumul. CA surplus - JapCBCo reserve chg, $B)</t>
  </si>
  <si>
    <t>Real-world: $2.7T by Y9/2025 (Setser/IMF). Dollars not in official reserves.</t>
  </si>
  <si>
    <t>Private channel open?</t>
  </si>
  <si>
    <t>GlobalBankCo deposit share of routing gap</t>
  </si>
  <si>
    <t>TRADE FLOWS (endogenous — two-phase Hormuz structure)</t>
  </si>
  <si>
    <t>Export revenue ($B/yr)  [manufacturing+services — not oil-dependent]</t>
  </si>
  <si>
    <t>Japan exports: autos, electronics, machinery. Not directly Hormuz-affected. Mild demand reduction in Phase 2 as global growth slows.</t>
  </si>
  <si>
    <t>Oil/LNG import volume index  [1.0=normal, 0=Hormuz closed, 0.4=reroute]</t>
  </si>
  <si>
    <t>Phase 1: volume=0 (Hormuz blocked). Phase 2: 0.4 (alternate routes, Cape of Good Hope). Endogenous from ASSUMPTIONS oil_volume parameter.</t>
  </si>
  <si>
    <t>Oil price index  [1.0=normal, 2.8=Phase1 spike, 2.2=Phase2 elevated]</t>
  </si>
  <si>
    <t>Phase 1: global supply drops 2.5% (Hormuz = largest disruption in history). Price spikes immediately. Phase 2: moderates but stays elevated (rerouting cost premium).</t>
  </si>
  <si>
    <t>Oil import bill ($B/yr) = volume × price × base_bill  [TWO-PHASE KEY]</t>
  </si>
  <si>
    <t>PHASE 1: volume=0 → bill=0 → FALSE STABILIZATION. PHASE 2: volume=0.4, price=2.2 → bill=132B &gt; normal 150B. This endogenous collapse and recovery IS the two-phase structure.</t>
  </si>
  <si>
    <t>CA SURPLUS = export revenue − oil import bill  [endogenous, two-phase]</t>
  </si>
  <si>
    <t>Phase 1: CA surplus spikes (export_rev - 0). False stabilization — accumulation accelerates. Phase 2: CA surplus compresses (export_rev - 132B). Dollar inflows slow. This drives the routing gap and GlobalBankCo deposit dynamics.</t>
  </si>
  <si>
    <t>Routing gap contribution ($B/yr) = CA surplus − JapCBCo official accumulation</t>
  </si>
  <si>
    <t>Surplus not captured by official reserves routes through GlobalBankCo deposits. Phase 1: routing gap spikes (CA surplus up, official reserves constrained). Phase 2: routing gap compresses (CA surplus falls, basis trade loses funding).</t>
  </si>
  <si>
    <t>JapCBCo appreciation loop — break-even appreciation rate (% per year)</t>
  </si>
  <si>
    <t>Break-even = interest_income / JapCBCo_reserve_stock. Phase 1: false stabilization masks deterioration. Phase 2: appreciation pressure resumes as CA surplus compresses. JapCBCo at accounting limit when break-even = 0%.</t>
  </si>
  <si>
    <t>FIMA repo to FedCo ($B) = TSY pledged to Fed instead of sold outright</t>
  </si>
  <si>
    <t>Path B bypass. JapanCo repos TSY to FedCo for dollars. Yield spike suppressed. FedCo balance sheet expands. When FIMA_active=1 in ASSUMPTIONS: fraction of official TSY goes here instead of hitting the secondary market.</t>
  </si>
  <si>
    <t>JAPANCO DOMESTIC BALANCE SHEETS</t>
  </si>
  <si>
    <t>JapHouseholdCo -- Household Sector</t>
  </si>
  <si>
    <t>Financial assets (JGB + bank deposits, $B equiv)</t>
  </si>
  <si>
    <t xml:space="preserve">  of which: bank deposits</t>
  </si>
  <si>
    <t xml:space="preserve">  of which: JGB direct holdings</t>
  </si>
  <si>
    <t xml:space="preserve">  of which: equity/other</t>
  </si>
  <si>
    <t>Wage income ($B/yr)</t>
  </si>
  <si>
    <t>Consumption ($B/yr)</t>
  </si>
  <si>
    <t>Household savings flow ($B/yr)</t>
  </si>
  <si>
    <t>Consumption / GDP (%)</t>
  </si>
  <si>
    <t>Household savings rate (% of wage income)</t>
  </si>
  <si>
    <t>JapBankCo -- Domestic Banking Sector</t>
  </si>
  <si>
    <t>JGB holdings ($B equiv)</t>
  </si>
  <si>
    <t>Domestic loans ($B equiv)</t>
  </si>
  <si>
    <t>HH deposits ($B equiv)</t>
  </si>
  <si>
    <t>Net worth</t>
  </si>
  <si>
    <t>JapGovCo -- Public Sector</t>
  </si>
  <si>
    <t>JGB outstanding ($B equiv)</t>
  </si>
  <si>
    <t>Government spending ($B/yr)</t>
  </si>
  <si>
    <t>Government revenue ($B/yr)</t>
  </si>
  <si>
    <t>Fiscal deficit ($B/yr)</t>
  </si>
  <si>
    <t>Debt / GDP (%)</t>
  </si>
  <si>
    <t>Deficit rationale: compensating for suppressed domestic demand</t>
  </si>
  <si>
    <t>JapCBCo -- Sterilization Mechanics</t>
  </si>
  <si>
    <t>Sterilization bonds outstanding ($B equiv)</t>
  </si>
  <si>
    <t>Reserve asset return (% on FX reserves)</t>
  </si>
  <si>
    <t>Sterilization bond yield (domestic %)</t>
  </si>
  <si>
    <t>Net sterilization carry cost ($B/yr)</t>
  </si>
  <si>
    <t xml:space="preserve">  [negative = JapCBCo pays more on sterilization bonds than it earns on reserves]</t>
  </si>
  <si>
    <t>SUPPRESSION SUMMARY -- The Mirror of AmeriCo</t>
  </si>
  <si>
    <t>Consumption / GDP (%) -- suppressed vs 55-60% in AmeriCo</t>
  </si>
  <si>
    <t>Private savings / GDP (%) -- excess savings = surplus</t>
  </si>
  <si>
    <t>JapGovCo debt / GDP (%) -- fiscal cost of demand suppression</t>
  </si>
  <si>
    <t>Annual sterilization cost ($B) -- cost of holding the surplus</t>
  </si>
  <si>
    <t>Cumulative sterilization cost ($B)</t>
  </si>
  <si>
    <t>CommodityCo  |  Commodity Sovereign  |  Exogenous Shock Origin  |  Generic in Publication</t>
  </si>
  <si>
    <t>Liquid dollar buffer. Withdrawal triggers DCR shock at GlobalBankCo (Path A).</t>
  </si>
  <si>
    <t>Direct Treasury holdings ($B)</t>
  </si>
  <si>
    <t>TIC-visible. Second liquidation target. Sale triggers yield spike (Path B).</t>
  </si>
  <si>
    <t>Commodity receivables ($B)</t>
  </si>
  <si>
    <t>Oil/gas/minerals. Price shock = exogenous trigger. Forces liquidation of dollar assets.</t>
  </si>
  <si>
    <t>Sovereign wealth fund (equity/alts, $B)</t>
  </si>
  <si>
    <t>Gold reserves ($B)  [Path C: outside banking chain]</t>
  </si>
  <si>
    <t>Gold proceeds -&gt; GBC deposit (stress yr, temp)  [SFC: = GBC gold_temp_dep]</t>
  </si>
  <si>
    <t>Sovereign debt (USD-denominated, $B)</t>
  </si>
  <si>
    <t>JapInv project obligations ($B)</t>
  </si>
  <si>
    <t>SFC: = JapanCo!JapInv_project_claims. Cross-actor identity.</t>
  </si>
  <si>
    <t>Short-term import financing ($B)</t>
  </si>
  <si>
    <t>CLC = L_liquid / (S_short + B_JapInv)</t>
  </si>
  <si>
    <t>Liquidity cliff. Below 1.2: forced liquidation. L_liquid = deposit + direct Treasury. S_short = USD sovereign debt. B_JapInv = JapInv project obligations due.</t>
  </si>
  <si>
    <t>CLC hard constraint breach (&lt; 1.0) -- forced liquidation is accounting consequence</t>
  </si>
  <si>
    <t>CLC (ex-gold): liquid w/o gold / obligations</t>
  </si>
  <si>
    <t>CLC early warning (&lt; 1.2) -- buffer thinning, precautionary liquidation possible</t>
  </si>
  <si>
    <t>TRADE FLOWS — ENDOGENOUS TWO-PHASE (mirrors JapanCo import structure)</t>
  </si>
  <si>
    <t>Export volume index  [1.0=normal, 0=Phase1 blocked, 0.4=Phase2 reroute]</t>
  </si>
  <si>
    <t>Phase 1: Hormuz closed → CommodityCo cannot ship. Revenue = 0. Phase 2: alternate routes (Cape of Good Hope + overland) recover 40% volume.</t>
  </si>
  <si>
    <t>Export price index  [1.0=normal, 0=Phase1 (can't sell), 2.2=Phase2 scarcity]</t>
  </si>
  <si>
    <t>Phase 1: price moot — cannot export. Phase 2: scarcity premium. CommodityCo receives 2.2× normal price on whatever volume gets through.</t>
  </si>
  <si>
    <t>Export revenue ($B/yr) = volume × price × base_revenue  [TWO-PHASE CORE]</t>
  </si>
  <si>
    <t>Base export revenue = 60B/yr (commodity receivables Y0). Phase 1: 0×2.8×60 = 0B → CLC BREACHES immediately. Phase 2: 0.4×2.2×60 = 52.8B → partial recovery but below base. SFC: this replaces static commodity receivables (ASSUMPTIONS r20).</t>
  </si>
  <si>
    <t>Path A trigger — deposit withdrawal from GlobalBankCo when revenue collapses</t>
  </si>
  <si>
    <t>Phase 1: export revenue = 0 → CommodityCo draws down GlobalBankCo deposit to cover obligations. Path A fires immediately. Withdrawal = MAX(0, obligations - export_revenue).</t>
  </si>
  <si>
    <t>Path C trigger — gold liquidation when deposit insufficient (Phase 1 Month 2)</t>
  </si>
  <si>
    <t>When deposit &lt; obligations AND Path A insufficient: gold sold. False stabilization signal: gold proceeds temporarily reload GlobalBankCo deposit. CLC appears to improve Month 2 before Path A+B fire Month 3.</t>
  </si>
  <si>
    <t>ENDOGENOUS CLC (replaces static) = liquid_assets / obligations</t>
  </si>
  <si>
    <t>liquid_assets = deposit + direct_TSY + SWF×0.2 + gold (if not yet sold). Endogenous: collapses in Phase1, partially recovers Phase2. Phase1 Month 1: CLC breaches. Month 2: gold props it up (false signal). Month 3: Path A+B fire as gold exhausted.</t>
  </si>
  <si>
    <t>Phase 2 net effect — CommodityCo revenue vs normal base</t>
  </si>
  <si>
    <t>Phase2 revenue (52.8B) vs normal base (60B) = -7.2B shortfall. CommodityCo remains impaired in Phase2 even at higher prices because volume only 40%.</t>
  </si>
  <si>
    <t>ClearCo  |  Novation &amp; Clearing Entity  |  Mirrors FICC CCP function</t>
  </si>
  <si>
    <t>Novated GovCo bond collateral ($B)  [SFC: = RepoCo off-balance novated Treasury r13]</t>
  </si>
  <si>
    <t>CCP holds novated bonds</t>
  </si>
  <si>
    <t>Novated repo obligation to RepoCo ($B)  [SFC: = ClearCo assets -- CCP substituted as CCP]</t>
  </si>
  <si>
    <t>CCP owes back to RepoCo</t>
  </si>
  <si>
    <t>NET POSITION (Assets - Liabilities)  [Must = 0: ClearCo is pure pass-through]</t>
  </si>
  <si>
    <t>ANALYTICAL NOTE</t>
  </si>
  <si>
    <t>Novation fraction (ASSUMPTIONS r39) -- % of repo book routed through ClearCo</t>
  </si>
  <si>
    <t>ClearCo bonds / GlobalBankCo total repo book -- chain invisibility ratio</t>
  </si>
  <si>
    <t>NOTE: ClearCo holds the novated GovCo bonds as central counterparty. TIC reporting sees ClearCo (domestic CCP) not the original foreign funding chain. This is the structural reporting break -- not fraud, not concealment. The bond exists. The chain is severed at this step.</t>
  </si>
  <si>
    <t>GlobalBankCo  |  International Bank  |  SLR Valve  |  Deposit-to-Repo Router</t>
  </si>
  <si>
    <t>Repo loans to RepoCo ($B)  [SFC: = RepoCo!repo_payable_to_GlobalBankCo]</t>
  </si>
  <si>
    <t>Path B: SLR-constrained deposits routed to repo. SFC identity: this = RepoCo repo payable to GlobalBankCo.</t>
  </si>
  <si>
    <t>Gold-funded additional repo to RepoCo (stress yr)  [SFC: = RepoCo!gold_repo]</t>
  </si>
  <si>
    <t>Direct Treasury (Path A, HQLA, $B)</t>
  </si>
  <si>
    <t>Path A: when SLR not binding, deposits -&gt; direct Treasury. TIC-visible. Stable demand.</t>
  </si>
  <si>
    <t>Other loans ($B)</t>
  </si>
  <si>
    <t>Count toward SLR denominator. Post-COVID reserve glut constrained SLR for major banks.</t>
  </si>
  <si>
    <t>Deposits from JapanCo ($B)  [SFC: = JapanCo!deposit_at_GlobalBankCo]</t>
  </si>
  <si>
    <t>SFC identity enforced by formula. BIS LBS code G proxy (loans+deposits, inseparable -- structural BIS limitation).</t>
  </si>
  <si>
    <t>Deposits from CommodityCo ($B)  [SFC: = CommodityCo!deposit_at_GlobalBankCo]</t>
  </si>
  <si>
    <t>Second sovereign deposit source. Withdrawal at stress = CLC breach trigger.</t>
  </si>
  <si>
    <t>Gold proceeds temp deposit (stress yr)  [SFC: = CommodityCo!gold_proceeds]</t>
  </si>
  <si>
    <t>Other liabilities ($B)</t>
  </si>
  <si>
    <t>DCR = (Dep_JapanCo + Dep_CommodityCo) / Repo_book</t>
  </si>
  <si>
    <t>Deposit Coverage Ratio. DCR &lt; 1 = repo book exceeds sovereign deposit base. DCR decline signals withdrawal risk. Pressure gauge for Path A trigger.</t>
  </si>
  <si>
    <t>Simplified SLR. Tier1 ~8% of assets. Total exposure = total assets + off-BS items. Minimum 5% (US GSIBs). SLR reform Nov 2025 changes denominator.</t>
  </si>
  <si>
    <t>SLR binding? (&lt; constraint threshold = YES)</t>
  </si>
  <si>
    <t>AUGMENTED COVERAGE RATIO (ACR): DCR + gold proceeds / Repo book -- TEMPORARY FALSE STABILIZATION signal. NOT baseline DCR. Rises in stress year before Path A/B fire.</t>
  </si>
  <si>
    <t>CONFIDENCE SPILLOVER (Blue Owl mechanism)</t>
  </si>
  <si>
    <t>Funding cost increment when FinServCo gate ON ($B equiv stress)</t>
  </si>
  <si>
    <t>When FinServCo gates: investors reprice similar funds. GlobalBankCo wholesale funding cost rises (confidence spillover). Compresses repo spread → HedgeCo basis trade less viable.</t>
  </si>
  <si>
    <t>Effective basis trade spread compression ($B) = funding shock × HedgeCo leverage</t>
  </si>
  <si>
    <t>Funding cost shock ripples through repo chain. Each basis point of funding cost = HedgeCo carry compressed.</t>
  </si>
  <si>
    <t>ROUTING GAP LINKAGE — JapanCo two-phase dynamics feed GlobalBankCo deposit base</t>
  </si>
  <si>
    <t>JapanCo CA surplus (endogenous) = export_rev − oil_import_bill</t>
  </si>
  <si>
    <t>Phase1: CA surplus spikes (import bill=0). Phase2: CA surplus compresses. This drives the change in GlobalBankCo deposit base each year.</t>
  </si>
  <si>
    <t>CommodityCo deposit withdrawal (Path A) = MAX(0, obligations - revenue)</t>
  </si>
  <si>
    <t>Phase1: CommodityCo draws down deposit. Phase2: partial recovery. Direct drain on GlobalBankCo deposit base.</t>
  </si>
  <si>
    <t>Net deposit change = JapanCo routing + CommodityCo withdrawal</t>
  </si>
  <si>
    <t>Phase1 net: JapanCo routing rises (CA surplus up) BUT CommodityCo withdraws. Phase2 net: JapanCo routing falls (CA surplus compresses) AND CommodityCo still impaired. Net effect on basis trade funding visible here.</t>
  </si>
  <si>
    <t>Basis trade funding pressure (Phase1=expanding, Phase2=contracting)</t>
  </si>
  <si>
    <t>Phase1: JapanCo routing spike → more GlobalBankCo deposits → more repo capacity → HedgeCo basis trade EXPANDS (false stabilization amplifies the trade). Phase2: routing compresses → repo tightens → HedgeCo margin pressure.</t>
  </si>
  <si>
    <t>JapanCo routing increment vs prior year ($B)  [sign arithmetic — Phase1 vs Phase2]</t>
  </si>
  <si>
    <t>Explicit arithmetic: positive = more funding arriving, negative = funding decelerating. Phase1(Y8): +168B (import bill collapses → CA surplus spikes). Phase2(Y9): -152B (import bill recovers 132B → CA surplus compresses). This IS the mechanism: Phase1 net positive, Phase2 net negative.</t>
  </si>
  <si>
    <t>CommodityCo deposit change vs prior year ($B)  [negative = withdrawal]</t>
  </si>
  <si>
    <t>Phase1(Y8): deposit drains as Path A fires (revenue=0, obligations persist). Phase2(Y9): partial recovery (revenue=52.8B partially covers obligations).</t>
  </si>
  <si>
    <t>NET DEALER FUNDING CHANGE ($B) = JapanCo increment + CommodityCo change</t>
  </si>
  <si>
    <t>Phase1(Y8): net positive — JapanCo inflow exceeds CommodityCo withdrawal. Basis trade expands. This is the false stabilization. Phase2(Y9): net negative — JapanCo increment falls, CommodityCo still impaired. Second derivative turns negative: funding still positive in level but no longer expanding.</t>
  </si>
  <si>
    <t>NET FUNDING SIGN  [EXPANDING = basis trade can grow | CONTRACTING = margin pressure]</t>
  </si>
  <si>
    <t>Ties Phase2 to the specific mechanism: repo capacity tightens as funding inflow decelerates while CommodityCo withdrawals persist. HedgeCo must fund same Treasury inventory with less stable support. Futures variation margin begins to bite.</t>
  </si>
  <si>
    <t>RepoCo  |  Repo Desk  |  FICC Member  |  TIC Chain Break Point</t>
  </si>
  <si>
    <t>ASSETS (on balance sheet)</t>
  </si>
  <si>
    <t>[REMOVED] Treasury collateral -- NOT on RepoCo balance sheet. RepoCo holds cash loan only. Treasury sits on HedgeCo.</t>
  </si>
  <si>
    <t>Repo loan to HedgeCo ($B)  [CASH CLAIM, not bond. SFC: = HedgeCo!repo_payable_to_RepoCo]</t>
  </si>
  <si>
    <t>RepoCo lent cash to HedgeCo. HedgeCo posted Treasury as collateral. The BOND is on HedgeCo balance sheet -- RepoCo holds only the cash receivable.</t>
  </si>
  <si>
    <t>Gold-funded additional repo recv from GBC (stress yr)</t>
  </si>
  <si>
    <t>TOTAL ASSETS (on balance sheet)</t>
  </si>
  <si>
    <t>LIABILITIES (on balance sheet)</t>
  </si>
  <si>
    <t>Repo payable to GlobalBankCo ($B)  [SFC: = GlobalBankCo!repo_loans_to_RepoCo]</t>
  </si>
  <si>
    <t>SFC identity: must equal GlobalBankCo repo loans to RepoCo.</t>
  </si>
  <si>
    <t>DERIVATIVE / OFF-BALANCE-SHEET (FICC novation -- TIC chain break)</t>
  </si>
  <si>
    <t>Treasury collateral (post-FICC novation, OFF books, $B)</t>
  </si>
  <si>
    <t>CRITICAL: After FICC novation, these Treasuries move to FICC CCP. TIC reporting stops here. Foreign funding origin invisible. This is the structural source of the $1.4T Barth-Beltran gap.</t>
  </si>
  <si>
    <t>Repo loan / GlobalBankCo total repo book (chain coverage check)</t>
  </si>
  <si>
    <t>Should = 1.0 at all times: RepoCo repo loan = GlobalBankCo repo book. Confirms cash flow integrity.</t>
  </si>
  <si>
    <t>TIC gap at RepoCo = novated Treasury / total repo book</t>
  </si>
  <si>
    <t>Fraction of repo book where TIC chain is broken. Rising with FICC novation fraction assumption.</t>
  </si>
  <si>
    <t>HedgeCo  |  Basis Trade Vehicle  |  Cayman-Registered  |  20-50x Leverage</t>
  </si>
  <si>
    <t>Long cash Treasury, repo-funded ($B)</t>
  </si>
  <si>
    <t>Long leg of basis trade. Funded by repo from RepoCo. NOT in TIC (Cayman + FICC novation breaks chain).</t>
  </si>
  <si>
    <t>Gold-funded additional cash Treasury (stress yr)  [Path C recycled]</t>
  </si>
  <si>
    <t>Margin posted at exchange ($B)</t>
  </si>
  <si>
    <t>Small fraction of gross notional. Varies daily with mark-to-market.</t>
  </si>
  <si>
    <t>Repo payable to RepoCo ($B)  [SFC: = RepoCo!repo_receivable_from_HedgeCo]</t>
  </si>
  <si>
    <t>SFC identity: must equal RepoCo repo receivable from HedgeCo. If called by RepoCo, HedgeCo must sell cash Treasuries immediately.</t>
  </si>
  <si>
    <t>DERIVATIVES (gross notional -- NOT on standard balance sheet)</t>
  </si>
  <si>
    <t>Short Treasury futures (exchange, $B notional)</t>
  </si>
  <si>
    <t>Short leg of basis trade. CFTC TFF reports this. Real-world: $1,050B net short (Mar 2026, all tenors incl Ultra 10yr). NOT in TIC, NOT in bank balance sheets.</t>
  </si>
  <si>
    <t>Gross basis trade exposure (cash + futures, $B)</t>
  </si>
  <si>
    <t>Total gross exposure. Barth-Beltran end-Y8 total: $1,850B. This is what FedCo must absorb in full unwind.</t>
  </si>
  <si>
    <t>Effective collateral ($B) = cash TSY × endogenous duration mix  [wired to MEASURES]</t>
  </si>
  <si>
    <t>When yield &gt; 5.5% threshold, GovCo shifts to bills. Basis trade collateral quality compresses. Effective collateral = HedgeCo cash TSY × MEASURES!endogenous_duration_mix. Feeds back into repo haircuts and BTAR.</t>
  </si>
  <si>
    <t>Leverage = Gross exposure / Equity</t>
  </si>
  <si>
    <t>Gross exposure / equity ($10B fixed). Starts ~23x (Y0). Rises as position scales against fixed equity base. Note: leverage narrative in description calibrated to Y0 entry level.</t>
  </si>
  <si>
    <t>BTAR numerator = Gross basis trade exposure ($B)</t>
  </si>
  <si>
    <t>Basis Trade Absorption Ratio numerator. Full unwind = this amount in Treasury selling into stressed market. BTAR = this / FedCo remaining headroom (see MEASURES sheet).</t>
  </si>
  <si>
    <t>STRESS SCENARIO (Y10+)</t>
  </si>
  <si>
    <t>Repo called (Path A): HedgeCo forced cash Treasury sale ($B)</t>
  </si>
  <si>
    <t>CommodityCo deposit withdrawal -&gt; GlobalBankCo calls repo -&gt; RepoCo calls HedgeCo.</t>
  </si>
  <si>
    <t>Margin breach (Path B): futures margin call ($B)</t>
  </si>
  <si>
    <t>Yield spike from CommodityCo Treasury sale -&gt; futures P&amp;L negative -&gt; margin breach.</t>
  </si>
  <si>
    <t>FedCo  |  AmeriCo Central Bank  |  Absorber of Last Resort  |  Pressure Gauge</t>
  </si>
  <si>
    <t>Treasury holdings ($B)</t>
  </si>
  <si>
    <t>Real-world: Fed peaked $5.7T Treasuries Apr 2022. QT since. Y10+ stress: emergency absorption of HedgeCo unwind.</t>
  </si>
  <si>
    <t>MBS holdings ($B)</t>
  </si>
  <si>
    <t>TOTAL ASSETS (Balance Sheet, $B)</t>
  </si>
  <si>
    <t>Bank reserves ($B)</t>
  </si>
  <si>
    <t>Each dollar of Treasury purchase = one dollar of reserves. Stress absorption = reserve expansion.</t>
  </si>
  <si>
    <t>Currency in circulation ($B)</t>
  </si>
  <si>
    <t>RRP (reverse repo, overnight, $B)</t>
  </si>
  <si>
    <t>Excess reserves parked at Fed. High RRP = system has more reserves than it wants.</t>
  </si>
  <si>
    <t>Fed BS / GDP</t>
  </si>
  <si>
    <t>Primary pressure gauge. At 38-40% = productive base constraint binding. Part II hard threshold.</t>
  </si>
  <si>
    <t>Remaining headroom ($B) = ceiling (40% GDP) - current BS</t>
  </si>
  <si>
    <t>BTAR denominator. Full basis trade unwind absorbs X% of this.</t>
  </si>
  <si>
    <t>STRESS (Y10+)</t>
  </si>
  <si>
    <t>Emergency Treasury purchase = HedgeCo forced sale ($B)</t>
  </si>
  <si>
    <t>SFC: FedCo buys what HedgeCo sells. The absorber IS the underlying. Balance sheet expands in the same asset under stress.</t>
  </si>
  <si>
    <t>SRF repo asset ($B) — repo loans to AmeriBankCo/dealers at administered rate</t>
  </si>
  <si>
    <t>Standing Repo Facility. FedCo absorbs excess repo demand when yield &gt; SRF rate. Real: $26B April 2026 → toy 0.24B. SFC: FedCo asset = AmeriBankCo liability. = MEASURES!SRF_absorption.</t>
  </si>
  <si>
    <t>FIMA repo asset ($B) — TSY collateral from foreign CBs (Path B bypass)</t>
  </si>
  <si>
    <t>Foreign Official Repo. Foreign CBs pledge TSY to FedCo for dollars. Prevents outright TSY selling (Path B yield spike). Real: $337.5B foreign official RRP pool → toy 3.1B. SFC: FedCo asset = foreign CB liability (dollars owed).</t>
  </si>
  <si>
    <t>SFC CHECK -- All cells must be GREEN. Red = model error in accounting identities.</t>
  </si>
  <si>
    <t>SFC IDENTITY CHECKS -- difference = 0 means identity holds</t>
  </si>
  <si>
    <t>IDENTITY</t>
  </si>
  <si>
    <t>DESCRIPTION</t>
  </si>
  <si>
    <t>1: JapanCo dep = GlobalBankCo liab to JapanCo</t>
  </si>
  <si>
    <t>JapanCo asset must equal GlobalBankCo liability. Core SFC constraint.</t>
  </si>
  <si>
    <t>2: CommodityCo dep = GlobalBankCo liab to CommodityCo</t>
  </si>
  <si>
    <t>CommodityCo asset must equal GlobalBankCo liability.</t>
  </si>
  <si>
    <t>3: GlobalBankCo repo = RepoCo repo payable</t>
  </si>
  <si>
    <t>Repo book must balance across the two counterparties.</t>
  </si>
  <si>
    <t>4: RepoCo repo recv = HedgeCo repo payable</t>
  </si>
  <si>
    <t>RepoCo receivable = HedgeCo liability.</t>
  </si>
  <si>
    <t>5: HedgeCo cash Treasury = RepoCo repo receivable</t>
  </si>
  <si>
    <t>Cash long position funded by repo = repo receivable from RepoCo's perspective.</t>
  </si>
  <si>
    <t>6: CommodityCo JapInv liab = JapanCo JapInv asset</t>
  </si>
  <si>
    <t>JapInv project obligations on CommodityCo = claims on JapanCo.</t>
  </si>
  <si>
    <t>7: FedCo Y0 Treasury = ASSUMPTIONS input; Y1+: BS/GDP &lt;= ceiling</t>
  </si>
  <si>
    <t>Y0: exact match check. Y1+: ceiling not breached (0 if OK, positive if breach).</t>
  </si>
  <si>
    <t>8: CommodityCo gold proceeds = GBC gold temp deposit</t>
  </si>
  <si>
    <t>9: GBC gold-funded repo = RepoCo gold-funded repo recv</t>
  </si>
  <si>
    <t>10: RepoCo gold repo recv = HedgeCo gold-funded Treasury</t>
  </si>
  <si>
    <t>11: ClearCo net position = 0 (pure pass-through CCP)</t>
  </si>
  <si>
    <t>SUMMARY: count of non-zero cells above (should be zero)</t>
  </si>
  <si>
    <t>Non-zero cells (errors)</t>
  </si>
  <si>
    <t>PART IV INTERNAL SFC IDENTITIES (12-17)</t>
  </si>
  <si>
    <t>12: Wage identity -- ManuCo+ProdServ+FinServ wages = HouseholdCo total</t>
  </si>
  <si>
    <t>ManuCo+ProdServiceCo+FinServCo wage bills must sum to HouseholdCo total wage income.</t>
  </si>
  <si>
    <t>13: Deposit identity — AmeriBankCo deposit liabilities = HH + ManuCo + ProdServ deposits</t>
  </si>
  <si>
    <t>Real cross-check: sum of depositor assets = bank deposit liabilities. Was tautological — now a genuine constraint.</t>
  </si>
  <si>
    <t>14: AmeriBankCo repo to FinServCo = FinServCo repo payable</t>
  </si>
  <si>
    <t>Repo must balance across the two counterparties.</t>
  </si>
  <si>
    <t>15: GovCo holder rows mirror balance sheets — all 8 named holders self-consistent</t>
  </si>
  <si>
    <t>Each GovCo holder row = corresponding holder balance sheet asset. Checks: HH_direct + InsuranceCo + FinServCo_TSY + AmeriBankCo_TSY + OtherBankCo all mirror correctly. Sum = 0 if all mirrors are wired. GovCo!r14=FinServCo!r5, r15=AmeriBankCo!r6 added Apr 2026.</t>
  </si>
  <si>
    <t>16: FedCo reserve liabilities = AmeriBankCo reserve assets (1:1, consolidated sector)</t>
  </si>
  <si>
    <t>AmeriBankCo = consolidated US banking sector. 100% of FedCo reserve liabilities appear on AmeriBankCo asset side. Note UPDATED: was 0.4 proxy (stale). Now 1:1.</t>
  </si>
  <si>
    <t>17: FinServCo LP stake = HedgeCo equity * LP fraction</t>
  </si>
  <si>
    <t>Pension LP stake in basis trade vehicle must match HedgeCo equity * ASSUMPTIONS LP fraction.</t>
  </si>
  <si>
    <t>18: Treasury conservation — GovCo!r18(total) = sum of 8 named holders + true residual(=0)</t>
  </si>
  <si>
    <t>Complete holder set: FedCo(r9)+HedgeCo(r10)+Official(r11)+HH(r12)+InsuranceCo(r13)+FinServCo_TSY(r14)+AmeriBankCo_TSY(r15)+OtherBankCo(r16)+true_residual(r17)=GovCo!r18. OtherBankCo absorbs remainder → residual=0 → identity closes exactly.</t>
  </si>
  <si>
    <t>18a: RepoCo on-BS Treasury = 0 (repo loan only, no bond ownership)</t>
  </si>
  <si>
    <t>RepoCo holds cash claims only. If non-zero: model error -- bond has been double-counted.</t>
  </si>
  <si>
    <t>18b: ClearCo on-BS Treasury = 0 (novation is memorandum / off-balance-sheet only)</t>
  </si>
  <si>
    <t>ClearCo tracks novated exposure only. Net position = 0 by construction (Identity 11). No bond on ClearCo balance sheet.</t>
  </si>
  <si>
    <t>19: FinServCo TSY floor &gt;= 0 (HedgeCo cannot buy more bonds than FinServCo owns)</t>
  </si>
  <si>
    <t>If negative: HedgeCo has scaled beyond FinServCo holdings. Need second seller. Check ASSUMPTIONS.</t>
  </si>
  <si>
    <t>DIAG: Partial Treasury reallocation (HedgeCo+FinServCo+AmeriBankCo+Official) -- not an identity, omits FedCo/HH/Insurance/OtherBank</t>
  </si>
  <si>
    <t>Annual change in HedgeCo TSY + annual change in all sellers = 0. Reallocation is zero-sum within any year's stock.</t>
  </si>
  <si>
    <t>21: AmeriBankCo balance sheet — Assets = Liabilities + Equity</t>
  </si>
  <si>
    <t>Full closure. Equity = r15 = Assets - Liabilities. Gap = 0 by construction but confirms no row was skipped.</t>
  </si>
  <si>
    <t>22: HouseholdCo balance sheet — Assets = Liabilities + Net Worth</t>
  </si>
  <si>
    <t>HH closure. Net worth = r14 = Assets - Liabilities.</t>
  </si>
  <si>
    <t>23: AmeriBankCo loan book = HH mortgage + HH consumer + ManuCo corporate debt</t>
  </si>
  <si>
    <t>Borrower liabilities = lender asset. Gap = 0 confirms no phantom lending.</t>
  </si>
  <si>
    <t>24: FedCo reserve liabilities = AmeriBankCo reserve assets (1:1, consolidated sector)</t>
  </si>
  <si>
    <t>AmeriBankCo = consolidated banking sector. 100% of FedCo reserve liabilities appear on AmeriBankCo asset side.</t>
  </si>
  <si>
    <t>25: HH pension claim = FinServCo net worth (assets − pension obligations − repo)</t>
  </si>
  <si>
    <t>HH is residual claimant on FinServCo. Net worth = gross assets minus what FinServCo owes others.</t>
  </si>
  <si>
    <t>26: ProdServiceCo equity liabilities = FinServCo equity portfolio + HH direct equity</t>
  </si>
  <si>
    <t>Equity claim wired to holders. Gap = 0 confirms no phantom equity created.</t>
  </si>
  <si>
    <t>27: PrivCred mirror — FinServCo PC loans = ProdServiceCo PC debt</t>
  </si>
  <si>
    <t>Hard rule: exact equality. Gap = 0 confirms no phantom credit.</t>
  </si>
  <si>
    <t>28: Gate mechanics — actual payout = MIN(liquid assets, HH request)</t>
  </si>
  <si>
    <t>Gate enforced. Payout ≤ liquid TSY. No TSY disappears.</t>
  </si>
  <si>
    <t>29: Illiquidity flag — when gate fires, TSY buyer must be identified</t>
  </si>
  <si>
    <t>Narrative identity. When gate fires, TSY buyer = AmeriBankCo (normal) or FedCo (stress). Enforced in CONTAGION tab. Returns 0 here as placeholder.</t>
  </si>
  <si>
    <t>30: Reallocation conservation — ΔHedgeCo + ΔFinServCo + ΔAmeriBankCo + ΔOfficial = 0</t>
  </si>
  <si>
    <t>Within-period reallocation must net to zero. New issuance (GovCo fiscal deficit) handled separately. Non-zero = unidentified seller.</t>
  </si>
  <si>
    <t>DIAG: HedgeCo growth threshold = MAX(0, HedgeCo - 270) -- step function, fires when HedgeCo exceeds threshold</t>
  </si>
  <si>
    <t>ΔHedgeCo_from_Y0 vs total seller capacity. Seller capacity = FinServCo_Y0(60) + AmeriBankCo_Y0(30) + Official_Y0(100) = 190B. Was hardcoded 216 (stale — included FinServCo+AmeriBankCo+Official=126+30+60=216 using old Official=126). Now 190 (Official=100). OtherBankCo covers remainder as swing seller.</t>
  </si>
  <si>
    <t>32: OtherBankCo floor check — must be ≥ 0 (cannot sell what it doesn't own)</t>
  </si>
  <si>
    <t>OtherBankCo is the residual absorber. If negative: reallocation demand exceeds all named sellers. Model limit reached.</t>
  </si>
  <si>
    <t>33: HouseholdCo direct TSY = GovCo!HH_direct holder row</t>
  </si>
  <si>
    <t>HH direct TSY asset = GovCo liability to HH. SFC mirror.</t>
  </si>
  <si>
    <t>34: InsuranceCo TSY = GovCo!InsuranceCo holder row</t>
  </si>
  <si>
    <t>InsuranceCo TSY asset = GovCo liability to insurance sector. SFC mirror.</t>
  </si>
  <si>
    <t>35: OtherBankCo TSY = GovCo!OtherBankCo holder row</t>
  </si>
  <si>
    <t>OtherBankCo TSY asset = GovCo liability to regional banks. SFC mirror.</t>
  </si>
  <si>
    <t>36: GovCo total = sum of all named holders + true residual</t>
  </si>
  <si>
    <t>Full holder decomposition. = FedCo + HedgeCo + Official + HH + Ins + OtherBank + residual. Gap = 0.</t>
  </si>
  <si>
    <t>37: True residual check — should be small relative to GovCo total</t>
  </si>
  <si>
    <t>True residual / GovCo total. Should be &lt; 5% for model to be publication-ready.</t>
  </si>
  <si>
    <t>DIAG: Partial Treasury reallocation (extended) -- not an identity, see r30 note</t>
  </si>
  <si>
    <t>ΔHedgeCo + ΔFinServCo + ΔAmeriBankCo + ΔOfficial + ΔHH + ΔIns + ΔOtherBank = 0 (reallocation only).</t>
  </si>
  <si>
    <t>39: Two-phase commodity shock — Phase1 CA surplus + Phase2 CA compression = accounting consequence</t>
  </si>
  <si>
    <t>Phase1 JapanCo CA surplus rise = -oil_import_bill collapse (import bill=0 when Hormuz closed). Phase2 CA compression = partial import recovery at higher price. No stochastic parameter needed — emerges from JapanCo balance sheet mechanics.</t>
  </si>
  <si>
    <t>40: SRF balance sheet — FedCo SRF asset = AmeriBankCo SRF liability</t>
  </si>
  <si>
    <t>Standing Repo Facility. FedCo lends to AmeriBankCo at administered rate. Mirror must = 0. SRF does not create bonds — repo collateral stays off-BS.</t>
  </si>
  <si>
    <t>41: FedCo FIMA = JapanCo FIMA pledge [KNOWN ISSUE v2: different bases. FedCo r21 uses MEASURES C58, JapanCo r29 uses JapanCo r4 times FIMA_active. Affects only FIMA stress-year accounting.]</t>
  </si>
  <si>
    <t>Foreign official repo. FedCo holds TSY collateral, JapanCo has dollar liability. Path B bypass: TSY stays at FedCo, not sold into secondary market.</t>
  </si>
  <si>
    <t>DIAG: Suppressed yield gap = MAX(0, MEASURES yield_gap) -- non-zero indicates SRF/FIMA active suppression</t>
  </si>
  <si>
    <t>Suppressed gap ≥ 0 always (SRF/FIMA can only suppress, not amplify). Positive = hidden pressure. When gap &gt; 0 for extended periods: tail risk building. Discontinuity fires when SRF capacity saturates or FIMA credibility breaks.</t>
  </si>
  <si>
    <t>43: CommodityCo SWF equity = ProdServiceCo equity held by CommodityCo</t>
  </si>
  <si>
    <t>CommodityCo!r8 = ProdServiceCo!r11 -- difference must = 0</t>
  </si>
  <si>
    <t>44: ProdServiceCo total equity = FinServCo + CommodityCo SWF</t>
  </si>
  <si>
    <t>ProdServiceCo!r9 = ProdServiceCo!r10 + ProdServiceCo!r11 -- must = 0</t>
  </si>
  <si>
    <t>45: JapHH savings = JapBankCo deposit inflow (JapanCo domestic closure)</t>
  </si>
  <si>
    <t>JapanCo!hh_savings = delta(JapBankCo deposits) -- difference = 0</t>
  </si>
  <si>
    <t>46: JapBankCo assets = JGB + GBC deposit + loans = HH deposits (balance)</t>
  </si>
  <si>
    <t>JapBankCo total assets = total liabilities -- zero residual</t>
  </si>
  <si>
    <t>47: JapGovCo JGB = JapBankCo JGB + JapCBCo JGB + HH direct JGB</t>
  </si>
  <si>
    <t>Full holder decomposition -- must sum to JapGovCo!r27</t>
  </si>
  <si>
    <t>48: Sterilization identity -- JapCBCo steril bonds = JapanCo!r35 -- zero residual</t>
  </si>
  <si>
    <t>JapCBCo steril bonds outstanding by year</t>
  </si>
  <si>
    <t>V2 REVISION LOG (May 2026)</t>
  </si>
  <si>
    <t>FIX 1: AmeriBankCo r11 wired to HouseholdCo r7 (was r8). Restores Identity 13.</t>
  </si>
  <si>
    <t>FIX 2: SFC_CHECK r22 (Identity 14 check) now references FinServCo r14 (repo payable) instead of FinServCo r12 (pension obligations). Was a check-formula typo.</t>
  </si>
  <si>
    <t>FIX 3: Rows 30, 41, 48, 52 relabeled DIAG. Diagnostic measures, not identity violations.</t>
  </si>
  <si>
    <t>FIX 4: Row 51 (Identity 41 FIMA) flagged as KNOWN ISSUE: FedCo and JapanCo sides compute FIMA on different bases.</t>
  </si>
  <si>
    <t>FIX 5: GovCo B17 and MEASURES B28/B59/B62 -- pre-existing notes cells where text was incorrectly stored as formula. Now plain text.</t>
  </si>
  <si>
    <t>SCOPE: Published Part IV / IVb results unaffected. Macro routing chain identities (1-11) and gauge measures hold in v1 and v2.</t>
  </si>
  <si>
    <t>VERIFY: Excel users -- File &gt; Options &gt; Formulas &gt; Enable iterative calculation. Set max iterations 100, max change 0.001.</t>
  </si>
  <si>
    <t>FRACTIONAL MEASURES -- All formula-driven. Defined for external calibration.</t>
  </si>
  <si>
    <t>PRESSURE GAUGE SUMMARY</t>
  </si>
  <si>
    <t>DCR  --  Deposit Coverage Ratio</t>
  </si>
  <si>
    <t>GlobalBankCo!r20</t>
  </si>
  <si>
    <t>Below 1.0: repo book exceeds sovereign deposit base. Withdrawal risk rising. Path A trigger imminent.</t>
  </si>
  <si>
    <t>CLC  --  CommodityCo Liquidity Cliff</t>
  </si>
  <si>
    <t>CommodityCo!r19</t>
  </si>
  <si>
    <t>CommodityCo!r19. Below 1.2 = early warning (buffer thinning). Below 1.0 = hard constraint breach (forced liquidation is accounting consequence).</t>
  </si>
  <si>
    <t>CV  --  Collateral Velocity</t>
  </si>
  <si>
    <t>RepoCo!r16</t>
  </si>
  <si>
    <t>Rising CV = more rehypothecation. Each additional link = one more TIC break point.</t>
  </si>
  <si>
    <t>TVR  --  TIC Visibility Ratio</t>
  </si>
  <si>
    <t>Calibrated at 22.9% (Barth-Beltran 2025 vintage: $423B visible / $1,850B total). TVR varies dynamically with collateral velocity and novation intensity — declining CV compresses invisibility even at fixed position size.</t>
  </si>
  <si>
    <t>Structural gauge failure. Barth-Beltran: 22.9% end-Y8. 77.1% of basis trade invisible to Fed in real time.</t>
  </si>
  <si>
    <t>BTAR  --  Basis Trade Absorption Ratio</t>
  </si>
  <si>
    <t>HedgeCo gross / (FedCo headroom + HedgeCo gross)</t>
  </si>
  <si>
    <t>HedgeCo gross exposure / (FedCo headroom + HedgeCo gross). Y0=31.2%, Y8=79.2%, Y10+=88.1%. Rising toward capacity ceiling as basis trade scales and headroom is consumed.</t>
  </si>
  <si>
    <t>Fed BS/GDP  --  Balance Sheet / GDP</t>
  </si>
  <si>
    <t>Formula: Fed BS / GDP</t>
  </si>
  <si>
    <t>At 38-40%: productive base constraint binding. Part II hard threshold.</t>
  </si>
  <si>
    <t>Capital-Output Ratio (κ_paper)  --  K_financial / Y_productive</t>
  </si>
  <si>
    <t>Formula: kappa_paper = K_real / Y_productive (FISIM-adjusted)</t>
  </si>
  <si>
    <t>κ divergence theorem. Rising κ_paper diverges from κ_real as FISIM grows. Connection to Part V formal framework.</t>
  </si>
  <si>
    <t>PART IV -- INTERNAL SECTOR MEASURES</t>
  </si>
  <si>
    <t>Wage share of GDP (HouseholdCo total / GDP)</t>
  </si>
  <si>
    <t>CORE. Falling = FedCo absorption does not expand wage base. Real-world: US wage share fell from 51% (2000) to 44% (2023).</t>
  </si>
  <si>
    <t>ManuCo investment share of GDP</t>
  </si>
  <si>
    <t>Declining. Crowding-out from return differential. Real-world: US mfg investment share fell from 12% to 8% since 2000.</t>
  </si>
  <si>
    <t>ProdServiceCo equity / GDP (valuation ratio)</t>
  </si>
  <si>
    <t>Rising with FedCo discount rate suppression. Falls sharply in stress. Real-world: US tech market cap / GDP 2x since 2019.</t>
  </si>
  <si>
    <t>FISIM share of GDP (FinServCo spread / GDP)</t>
  </si>
  <si>
    <t>Rising. κ_paper inflation without κ_real expansion. Real-world: US financial sector value-add rose from 4% to 8% of GDP.</t>
  </si>
  <si>
    <t>Rising. Debt serviced from flat wages. Stress accelerant: wage income flat, debt service rises with rates.</t>
  </si>
  <si>
    <t>AmeriBankCo repo routing intensity (repo / total assets)</t>
  </si>
  <si>
    <t>Rising = more reserves routed to FinServCo not ManuCo. The crowding-out channel made visible.</t>
  </si>
  <si>
    <t>FinServCo LP exposure / FinServCo total assets</t>
  </si>
  <si>
    <t>Rising = more pension exposure to HedgeCo unwind. Channel Two amplifier.</t>
  </si>
  <si>
    <t>ManuCo return on capital vs FinServCo FISIM yield</t>
  </si>
  <si>
    <t>Return differential. When ManuCo IRR &lt; FinServCo spread: investment routes to FinServCo. Structural.</t>
  </si>
  <si>
    <t>CommodityCo SWF equity in AmeriCo markets ($B)</t>
  </si>
  <si>
    <t>CommodityCo r8 -- grows in surplus, liquidates in stress</t>
  </si>
  <si>
    <t>κ DIVERGENCE THEOREM — EXPLICIT INEQUALITY</t>
  </si>
  <si>
    <t>Accumulation rate = CA_deficit / K_real  [dK/dt / K]</t>
  </si>
  <si>
    <t>LHS of divergence condition. Driven by external circuit. Real-world: ~$1T deficit / $60T capital = 1.7%/yr. But recycling adds to numerator.</t>
  </si>
  <si>
    <t>TFP growth rate = ProdServiceCo output growth  [dY/dt / Y]</t>
  </si>
  <si>
    <t>RHS of divergence condition. Best available proxy for productive base growth rate.</t>
  </si>
  <si>
    <t>DIVERGENCE GAP = accumulation rate − TFP growth  [&gt; 0 → κ diverges]</t>
  </si>
  <si>
    <t>If positive: accumulation dominates TFP. κ diverges regardless of productivity level. This is the falsification condition: κ converges only if TFP &gt; accumulation rate.</t>
  </si>
  <si>
    <t>DIVERGENCE FLAG  [DIVERGES if gap &gt; 0, CONVERGES if gap &lt; 0]</t>
  </si>
  <si>
    <t>Explicit falsification test. At 7% TFP: gap = accumulation_rate - 0.07. System diverges unless CA_deficit &lt; 0.07 × K_real.</t>
  </si>
  <si>
    <t>κ_real (TFP-adjusted) = K_real / (Y_productive × (1+TFP)^yr)</t>
  </si>
  <si>
    <t>κ_real corrected for TFP growth. Diverges even at 7% TFP because accumulation term &gt; 7%. Part V empirical anchor.</t>
  </si>
  <si>
    <t>CommodityCo SWF share of ProdServiceCo equity (%)</t>
  </si>
  <si>
    <t>DURATION MIX MECHANICS</t>
  </si>
  <si>
    <t>Duration mix [0=bills, 1=bonds]</t>
  </si>
  <si>
    <t>GovCo bill-vs-bond composition. Falls in stress as Treasury shifts to bills to bypass duration trap.</t>
  </si>
  <si>
    <t>Effective collateral supply ($B)</t>
  </si>
  <si>
    <t>HedgeCo position × duration mix. Falls when bills displace bonds. Compresses basis trade capacity.</t>
  </si>
  <si>
    <t>BTAR adjusted for duration mix</t>
  </si>
  <si>
    <t>BTAR × duration_mix. When Treasury shifts to bills, effective BTAR falls — system has more runway than raw BTAR suggests.</t>
  </si>
  <si>
    <t>PRICE FEEDBACK LOOP</t>
  </si>
  <si>
    <t>Net TSY selling / absorption capacity (price pressure unit)</t>
  </si>
  <si>
    <t>(FS_sold + AB_sold + Official_sold) / absorption_cap (150B). Drives yield via price impact function.</t>
  </si>
  <si>
    <t>YIELD = base_yield + yield_sensitivity × net_selling_pressure  [price feedback]</t>
  </si>
  <si>
    <t>Endogenous yield. yield = ASSUMPTIONS!r94 + ASSUMPTIONS!r95 × net_pressure. Feeds back into seller weights and GovCo duration switch.</t>
  </si>
  <si>
    <t>FinServCo dynamic selling weight = base × (1 + elasticity × yield_gap)</t>
  </si>
  <si>
    <t>yield_gap = yield - base_yield. FinServCo most elastic (duration mismatch). Weight rises with yield.</t>
  </si>
  <si>
    <t>AmeriBankCo dynamic selling weight = base × (1 + elasticity × yield_gap)</t>
  </si>
  <si>
    <t>Medium elasticity. LCR buffer management.</t>
  </si>
  <si>
    <t>Official dynamic selling weight = base × (1 + elasticity × yield_gap)</t>
  </si>
  <si>
    <t>Low elasticity. Political constraints slow response.</t>
  </si>
  <si>
    <t>GovCo duration mix — endogenous: switches to bills when yield &gt; threshold</t>
  </si>
  <si>
    <t>if yield &gt; ASSUMPTIONS!r99: mix = ASSUMPTIONS!r100 (bill-heavy). Else: bond-heavy (1.0). GovCo reacts to yield pressure.</t>
  </si>
  <si>
    <t>Effective collateral supply (endogenous) = HedgeCo_TSY × endogenous_duration_mix</t>
  </si>
  <si>
    <t>Basis trade collateral compresses when Treasury reacts to yield by issuing bills.</t>
  </si>
  <si>
    <t>BTAR adjusted (endogenous) — corrected for duration mix AND yield</t>
  </si>
  <si>
    <t>Most complete BTAR: accounts for collateral supply compression when yield rises.</t>
  </si>
  <si>
    <t>TVR dynamic = f(collateral_velocity)  [calibrated at 22.9%, varies with CV]</t>
  </si>
  <si>
    <t>TVR = MAX(0.10, 0.771×(1-(CV-1)×0.05)). Rising CV → more rehypothecation → lower TVR. Falling CV → less velocity → higher TVR. Calibrated at CV=1 → TVR=77.1% novation → 22.9% visible.</t>
  </si>
  <si>
    <t>SRF / FIMA / DEBT CEILING OVERLAYS</t>
  </si>
  <si>
    <t>SRF gap = MAX(0, yield_stress − SRF_rate)  [counterfactual pressure above ceiling]</t>
  </si>
  <si>
    <t>When positive: yield_stress has broken through the SRF ceiling. Fed must absorb this pressure via SRF repo. Currently ~15bps → toy 0.0015.</t>
  </si>
  <si>
    <t>SRF absorption ($B) = SRF_gap × SRF_sensitivity  [FedCo repo asset]</t>
  </si>
  <si>
    <t>Quantity of repo FedCo must supply to hold yield at SRF ceiling. Real: $26B April 2026 → toy scale 0.24B. Calibration anchor.</t>
  </si>
  <si>
    <t>YIELD EFFECTIVE = MIN(yield_stress, SRF_rate)  [observed market yield]</t>
  </si>
  <si>
    <t>What the market sees. SRF caps it. yield_stress is the counterfactual without the ceiling. Keep BOTH — stress vs effective is the suppressed gap.</t>
  </si>
  <si>
    <t>★ SUPPRESSED YIELD GAP = yield_stress − yield_effective  [hidden pressure]</t>
  </si>
  <si>
    <t>THE KEY OBSERVABLE. Positive = SRF or FIMA is masking true stress. This is the gap between where yield would be in free market vs observed. When suppression fails (SRF capacity or FIMA saturates): gap snaps → discontinuity.</t>
  </si>
  <si>
    <t>FIMA BYPASS (Path B suppression)</t>
  </si>
  <si>
    <t>FIMA pool ($B) = TSY repos to FedCo by foreign CBs (Path B bypass)</t>
  </si>
  <si>
    <t>Foreign CBs repo TSY to Fed instead of selling outright. Suppresses Path B yield spike. Real: $337.5B → toy scale 3.1B. When FIMA_active=1: net_selling is reduced by FIMA_bypass_fraction.</t>
  </si>
  <si>
    <t>FIMA-adjusted net selling (feeds yield_stress — net of bypass)</t>
  </si>
  <si>
    <t>raw net selling times (1 - FIMA_bypass_fraction) when active. This is what actually hits the yield function. The bypassed portion repos to FedCo instead of clearing through the market.</t>
  </si>
  <si>
    <t>JAPANCO DOMESTIC SUPPRESSION METRICS</t>
  </si>
  <si>
    <t>JapanCo consumption / GDP (%) -- suppressed</t>
  </si>
  <si>
    <t>Rises when GovCo front-loads issuance (debt ceiling pressure). Drains when spending flows → reserves flood system → ON RRP absorbs. Creates 2021 dynamic: reserve glut → RRP surge → eventual drain → stress.</t>
  </si>
  <si>
    <t>JapGovCo debt / GDP (%) -- fiscal cost of suppression</t>
  </si>
  <si>
    <t>1 when FedCo reserves greater than RRP threshold. Signal: money market funds parking excess at Fed. Temporarily depresses private repo rates. When TGA drain ends: reserves normalize, diagnostic clears.</t>
  </si>
  <si>
    <t>Annual sterilization carry cost ($B)</t>
  </si>
  <si>
    <t>Full rate stack: yield_stress → SRF cap → FIMA bypass → RRP discount. This is what HedgeCo actually pays for repo funding. When RRP pressure=1: repo is artificially cheap → basis trade encouraged.</t>
  </si>
  <si>
    <t>JapanCo private savings surplus / GDP (%)</t>
  </si>
  <si>
    <t>CONTAGION TAB — Stress Transmission Scenarios</t>
  </si>
  <si>
    <t>Three scenarios. One ratchet table. One JapCBCo appreciation sub-table. Price impact = net forced selling / assumed absorption capacity. All outputs in daily equivalents where relevant.</t>
  </si>
  <si>
    <t>Day 1</t>
  </si>
  <si>
    <t>Day 2</t>
  </si>
  <si>
    <t>Day 3</t>
  </si>
  <si>
    <t>Day 4</t>
  </si>
  <si>
    <t>Day 5</t>
  </si>
  <si>
    <t>Total</t>
  </si>
  <si>
    <t>Units</t>
  </si>
  <si>
    <t>SCENARIO ONE — Price Shock | March 2020 Calibration | Partial unwind 30%/day</t>
  </si>
  <si>
    <t>INPUTS</t>
  </si>
  <si>
    <t>HedgeCo position at shock ($B)</t>
  </si>
  <si>
    <t>2020 historical</t>
  </si>
  <si>
    <t>$B</t>
  </si>
  <si>
    <t>Leverage ratio at shock</t>
  </si>
  <si>
    <t>2020 historical ~20:1</t>
  </si>
  <si>
    <t>x</t>
  </si>
  <si>
    <t>Equity buffer ($B) = position / leverage</t>
  </si>
  <si>
    <t>Price decline — calibration (%)</t>
  </si>
  <si>
    <t>March 2020 observed</t>
  </si>
  <si>
    <t>Price decline — stress test (%)</t>
  </si>
  <si>
    <t>Wipeout at 30:1 leverage</t>
  </si>
  <si>
    <t>Partial unwind fraction per day</t>
  </si>
  <si>
    <t>30% of remaining position</t>
  </si>
  <si>
    <t>Market absorption capacity per day ($B)</t>
  </si>
  <si>
    <t>Normal market depth -- drops in stress</t>
  </si>
  <si>
    <t>Yield spike per $100B net selling (bps)</t>
  </si>
  <si>
    <t>Price impact function</t>
  </si>
  <si>
    <t>MECHANICS — Calibration scenario (2% price decline)</t>
  </si>
  <si>
    <t>Remaining HedgeCo position ($B)</t>
  </si>
  <si>
    <t>After forced selling each day</t>
  </si>
  <si>
    <t>HedgeCo equity remaining ($B)</t>
  </si>
  <si>
    <t>Equity - mark-to-market loss on position</t>
  </si>
  <si>
    <t>Collateral value decline ($B) — repo margin call trigger</t>
  </si>
  <si>
    <t>Price decline × remaining position → repo lender calls</t>
  </si>
  <si>
    <t>Futures variation margin due ($B) — simultaneous cash + futures squeeze</t>
  </si>
  <si>
    <t>Cash bond down → collateral down → futures margin called simultaneously</t>
  </si>
  <si>
    <t>Forced selling volume ($B/day)</t>
  </si>
  <si>
    <t>30% of remaining position per day</t>
  </si>
  <si>
    <t>Net selling beyond absorption capacity ($B/day)</t>
  </si>
  <si>
    <t>Day1: full absorption. Day2+: 5% absorption (panic - all assets sold)</t>
  </si>
  <si>
    <t>Yield spike (bps/day) = net selling / 100 × impact function</t>
  </si>
  <si>
    <t>Price impact = net forced selling relative to absorption capacity</t>
  </si>
  <si>
    <t>bps</t>
  </si>
  <si>
    <t>OUTPUTS — Calibration scenario</t>
  </si>
  <si>
    <t>Total forced selling ($B)</t>
  </si>
  <si>
    <t>Total yield spike (bps)</t>
  </si>
  <si>
    <t>Equity wipeout — day number</t>
  </si>
  <si>
    <t>day</t>
  </si>
  <si>
    <t>FedCo absorption required ($B) = total forced selling beyond absorption</t>
  </si>
  <si>
    <t>CALIBRATION SHORTCUT: total_forced × 3.85 cascade multiplier. Anchored to ~$1,600B March 2020 historical. Mechanical transmission would require: price-impact function → second-order selling → cascade amplification → FedCo intervention threshold. Multiplier approximates observed cascade at 2020 position size.</t>
  </si>
  <si>
    <t>BTAR pre-shock (from main model Y8)</t>
  </si>
  <si>
    <t>Pulled from MEASURES tab</t>
  </si>
  <si>
    <t>BTAR post-shock = (HedgeCo Y8 + FedCo absorption) / FedCo capacity</t>
  </si>
  <si>
    <t>Residual headroom ($B)</t>
  </si>
  <si>
    <t>Ceiling breach? If absorption &gt; FedCo headroom → yield escalation</t>
  </si>
  <si>
    <t>Spillover $B</t>
  </si>
  <si>
    <t>SCENARIO TWO — Funding Shock | September 2019 Calibration | Partial unwind 30%/day</t>
  </si>
  <si>
    <t>Leverage ratio</t>
  </si>
  <si>
    <t>Equity buffer ($B)</t>
  </si>
  <si>
    <t>Repo rate — normal (%)</t>
  </si>
  <si>
    <t>Repo rate — stressed (%)</t>
  </si>
  <si>
    <t>September 2019 observed spike</t>
  </si>
  <si>
    <t>HedgeCo spread (% annualized)</t>
  </si>
  <si>
    <t>Roll failure fraction — share of repo that cannot be rolled</t>
  </si>
  <si>
    <t>Funding quantity constraint separate from price</t>
  </si>
  <si>
    <t>MECHANICS</t>
  </si>
  <si>
    <t>Daily carry at normal repo rate (% annualized)</t>
  </si>
  <si>
    <t>%</t>
  </si>
  <si>
    <t>Daily carry at stressed repo rate — carry turns sharply negative</t>
  </si>
  <si>
    <t>Stressed rate makes carry sharply negative; roll becomes uneconomic</t>
  </si>
  <si>
    <t>Position that cannot be rolled ($B) — funding quantity constraint</t>
  </si>
  <si>
    <t>Roll failure fraction × position</t>
  </si>
  <si>
    <t>Remaining position ($B)</t>
  </si>
  <si>
    <t>Forced selling ($B/day) — cannot roll + unwind of remaining</t>
  </si>
  <si>
    <t>Net selling beyond absorption ($B/day)</t>
  </si>
  <si>
    <t>Yield spike (bps/day)</t>
  </si>
  <si>
    <t>FedCo injection required ($B)</t>
  </si>
  <si>
    <t>total_forced × 0.88 (calibrated to ~$400B Sept 2019). No cascade -- repo injection.</t>
  </si>
  <si>
    <t>BTAR pre-shock</t>
  </si>
  <si>
    <t>BTAR post-shock</t>
  </si>
  <si>
    <t>Ceiling breach?</t>
  </si>
  <si>
    <t>SCENARIO THREE — CommodityCo Infrastructure Shock | Combined Price + Funding | Forward Projection</t>
  </si>
  <si>
    <t>Month 1</t>
  </si>
  <si>
    <t>Month 2</t>
  </si>
  <si>
    <t>Month 3</t>
  </si>
  <si>
    <t>Month 4</t>
  </si>
  <si>
    <t>Month 5</t>
  </si>
  <si>
    <t>CommodityCo monthly dollar receivables ($B)</t>
  </si>
  <si>
    <t>Normal monthly revenue</t>
  </si>
  <si>
    <t>Infrastructure interruption — months of zero receivables</t>
  </si>
  <si>
    <t>Physical production/transit capacity interrupted</t>
  </si>
  <si>
    <t>months</t>
  </si>
  <si>
    <t>CLC starting value (from main model Y8)</t>
  </si>
  <si>
    <t>Pulled from CommodityCo sheet</t>
  </si>
  <si>
    <t>ratio</t>
  </si>
  <si>
    <t>CommodityCo liquid assets ($B, Y8)</t>
  </si>
  <si>
    <t>CommodityCo near-term obligations ($B/month)</t>
  </si>
  <si>
    <t>Debt service + import financing roll (monthly)</t>
  </si>
  <si>
    <t>$B/mo</t>
  </si>
  <si>
    <t>Gold reserves ($B, Y8)</t>
  </si>
  <si>
    <t>Gold liquidation fraction (stress)</t>
  </si>
  <si>
    <t>Path C: gold proceeds routing to GlobalBankCo (%)</t>
  </si>
  <si>
    <t>Proceeds temporarily increase deposits subject to BS constraints</t>
  </si>
  <si>
    <t>HedgeCo position at shock ($B, Y8)</t>
  </si>
  <si>
    <t>Leverage at shock (Y8)</t>
  </si>
  <si>
    <t>Partial unwind fraction per month</t>
  </si>
  <si>
    <t>Market absorption capacity per month ($B)</t>
  </si>
  <si>
    <t>CLC = liquid assets / monthly obligations cumulative</t>
  </si>
  <si>
    <t>Falls as receivables stop arriving</t>
  </si>
  <si>
    <t>CLC breach (below 1.0) — liquidation is accounting consequence</t>
  </si>
  <si>
    <t>PATH C: Gold liquidation proceeds ($B)</t>
  </si>
  <si>
    <t>Fires month 2 when CLC approaches breach</t>
  </si>
  <si>
    <t>PATH C: Gold proceeds temporarily increase GlobalBankCo deposits ($B) — observable metrics can improve temporarily</t>
  </si>
  <si>
    <t>Subject to balance-sheet constraints. False stabilization signal in DCR.</t>
  </si>
  <si>
    <t>PATH A: Deposit withdrawal from GlobalBankCo ($B)</t>
  </si>
  <si>
    <t>Fires month 3 -- repo called -- RepoCo calls HedgeCo</t>
  </si>
  <si>
    <t>PATH B: Direct GovCo bond sales ($B)</t>
  </si>
  <si>
    <t>Fires month 3 simultaneously with Path A -- dual-channel hit on HedgeCo</t>
  </si>
  <si>
    <t>Combined forced selling ($B/month) — Path A + Path B + HedgeCo unwind</t>
  </si>
  <si>
    <t>HedgeCo hit simultaneously from funding (A) and price (B) channels</t>
  </si>
  <si>
    <t>Net selling beyond absorption ($B/month)</t>
  </si>
  <si>
    <t>Yield spike (bps/month)</t>
  </si>
  <si>
    <t>OUTPUTS — Forward projection</t>
  </si>
  <si>
    <t>Path C false stabilization window (months before A+B fire)</t>
  </si>
  <si>
    <t>FedCo absorption required ($B)</t>
  </si>
  <si>
    <t>RATCHET TABLE — Compounding across three episodes</t>
  </si>
  <si>
    <t>S1 and S2 FedCo absorption computed by calibration multiplier (not fully endogenous transmission). S1 × 3.85 anchored to March 2020 (~$1.6T). S2 × 0.88 anchored to September 2019 (~$400B). S3 absorption is mechanically derived.</t>
  </si>
  <si>
    <t>Scenario</t>
  </si>
  <si>
    <t>FedCo Absorption ($B)</t>
  </si>
  <si>
    <t>BTAR Pre</t>
  </si>
  <si>
    <t>BTAR Post</t>
  </si>
  <si>
    <t>Headroom pre-shock ($B)</t>
  </si>
  <si>
    <t>Headroom post-shock ($B) [negative = ceiling breach]</t>
  </si>
  <si>
    <t>QT Recovery ($B)</t>
  </si>
  <si>
    <t>Recovery Duration (months)</t>
  </si>
  <si>
    <t>Residual BTAR</t>
  </si>
  <si>
    <t>S1: Price Shock (2020 analog)</t>
  </si>
  <si>
    <t>S2: Funding Shock (2019 analog)</t>
  </si>
  <si>
    <t>S3: CommodityCo Infrastructure Shock (forward)</t>
  </si>
  <si>
    <t>NOTE: Negative headroom = FedCo balance sheet already in breach of productive-base ceiling before next shock arrives. S2 and S3 pre-shock headroom negative because QT recovery is incomplete. This is the ratchet: each episode leaves the system more constrained than it started.</t>
  </si>
  <si>
    <t>JAPCBCO APPRECIATION LOOP — Why JapCBCo cannot allow currency appreciation</t>
  </si>
  <si>
    <t>ASSUMPTION: Reserves marked in yen. Sterilization liabilities fixed in nominal yen. Appreciation creates immediate accounting loss on reserve stock.</t>
  </si>
  <si>
    <t>Line Item</t>
  </si>
  <si>
    <t>Break-even</t>
  </si>
  <si>
    <t>JapCBCo dollar reserve stock ($B)</t>
  </si>
  <si>
    <t>JapanCo!C4 Y0</t>
  </si>
  <si>
    <t>Exchange rate base (JPY per USD)</t>
  </si>
  <si>
    <t>JPY/USD</t>
  </si>
  <si>
    <t>Sterilization bond stock (JPY trillion)</t>
  </si>
  <si>
    <t>Fixed nominal yen liability</t>
  </si>
  <si>
    <t>JPY B</t>
  </si>
  <si>
    <t>Appreciation percentage</t>
  </si>
  <si>
    <t>New exchange rate (JPY/USD)</t>
  </si>
  <si>
    <t>Reserve value in JPY at new rate (JPY trillion)</t>
  </si>
  <si>
    <t>Accounting loss on reserves vs sterilization liabilities (JPY trillion)</t>
  </si>
  <si>
    <t>sterilization stock - reserve value at new rate</t>
  </si>
  <si>
    <t>Loss as % of reserve stock</t>
  </si>
  <si>
    <t>Break-even appreciation threshold: appreciation % at which reserve value in JPY = sterilization liability stock. Y0 = 0%: opening reserves exactly match sterilization liabilities by construction. Y2-Y8: small tolerance opens as reserves grow slightly faster than sterilization stock. This is a fixed-liability accounting threshold, not an empirical market tolerance.</t>
  </si>
  <si>
    <t>0% means ALREADY at limit. Any appreciation causes accounting loss on reserve stock.</t>
  </si>
  <si>
    <t>IMPLICATION: Larger reserve stock → lower break-even appreciation tolerance. Each year of surplus accumulation tightens the constraint further. This is not behavioral resistance to appreciation. It is the accounting consequence of the position.</t>
  </si>
  <si>
    <t>SCENARIO FOUR — Private Credit Stress | Blue Owl Mechanism | Apr 2026</t>
  </si>
  <si>
    <t>Step</t>
  </si>
  <si>
    <t>Actor</t>
  </si>
  <si>
    <t>Event</t>
  </si>
  <si>
    <t>Balance Sheet Impact</t>
  </si>
  <si>
    <t>Value (Y10+)</t>
  </si>
  <si>
    <t>TSY Buyer</t>
  </si>
  <si>
    <t>Cascade</t>
  </si>
  <si>
    <t>Path</t>
  </si>
  <si>
    <t>1</t>
  </si>
  <si>
    <t>HouseholdCo</t>
  </si>
  <si>
    <t>Redemption surge</t>
  </si>
  <si>
    <t>HH requests 22% of pension. callable_frac × pension_total.</t>
  </si>
  <si>
    <t>Callable ($B)</t>
  </si>
  <si>
    <t>—</t>
  </si>
  <si>
    <t>→ Step 2</t>
  </si>
  <si>
    <t>PC</t>
  </si>
  <si>
    <t>2</t>
  </si>
  <si>
    <t>FinServCo</t>
  </si>
  <si>
    <t>Gate fires — illiquidity ratio &gt; 1</t>
  </si>
  <si>
    <t>Liquid TSY exhausted. Payout = MIN(TSY, request).</t>
  </si>
  <si>
    <t>Illiq ratio</t>
  </si>
  <si>
    <t>AmeriBankCo / FedCo</t>
  </si>
  <si>
    <t>→ Step 3</t>
  </si>
  <si>
    <t>3</t>
  </si>
  <si>
    <t>Treasury mkt</t>
  </si>
  <si>
    <t>Forced TSY selling → yields rise</t>
  </si>
  <si>
    <t>FinServCo sells TSY to meet payout. Yield spike.</t>
  </si>
  <si>
    <t>TSY sold ($B)</t>
  </si>
  <si>
    <t>FedCo (stress)</t>
  </si>
  <si>
    <t>→ Step 4</t>
  </si>
  <si>
    <t>4</t>
  </si>
  <si>
    <t>HedgeCo</t>
  </si>
  <si>
    <t>Yield spike → basis trade margin call</t>
  </si>
  <si>
    <t>Long TSY MTM loss. Repo margin called. Forced unwind.</t>
  </si>
  <si>
    <t>MTM loss ($B)</t>
  </si>
  <si>
    <t>FedCo</t>
  </si>
  <si>
    <t>→ Step 5</t>
  </si>
  <si>
    <t>5</t>
  </si>
  <si>
    <t>RepoCo</t>
  </si>
  <si>
    <t>Repo contraction — HedgeCo called</t>
  </si>
  <si>
    <t>Repo book shrinks. HedgeCo forced selling.</t>
  </si>
  <si>
    <t>Repo called ($B)</t>
  </si>
  <si>
    <t>→ Step 6</t>
  </si>
  <si>
    <t>6</t>
  </si>
  <si>
    <t>ProdServiceCo</t>
  </si>
  <si>
    <t>AI/software stress — PC defaults</t>
  </si>
  <si>
    <t>15% of PC book defaults. FinServCo equity marks down.</t>
  </si>
  <si>
    <t>PC default ($B)</t>
  </si>
  <si>
    <t>→ Step 7</t>
  </si>
  <si>
    <t>7</t>
  </si>
  <si>
    <t>Triple hit: TSY + LP + PC</t>
  </si>
  <si>
    <t>TSY MTM + HedgeCo LP loss + PC credit defaults.</t>
  </si>
  <si>
    <t>Total loss ($B)</t>
  </si>
  <si>
    <t>→ Step 8</t>
  </si>
  <si>
    <t>8</t>
  </si>
  <si>
    <t>Emergency absorption</t>
  </si>
  <si>
    <t>Buys TSY from FinServCo + absorbs HedgeCo unwind. BS expands.</t>
  </si>
  <si>
    <t>FedCo absorb ($B)</t>
  </si>
  <si>
    <t>FedCo IS buyer</t>
  </si>
  <si>
    <t>END</t>
  </si>
  <si>
    <t>SCENARIO FIVE — JOINT STRESS | Hormuz + Blue Owl + Tariff | April 2026 Calibration</t>
  </si>
  <si>
    <t>Three shocks fire simultaneously. No scenario independence. Contagion amplified by overlap.</t>
  </si>
  <si>
    <t>Shock</t>
  </si>
  <si>
    <t>Value</t>
  </si>
  <si>
    <t>Amplifier</t>
  </si>
  <si>
    <t>Next</t>
  </si>
  <si>
    <t>T+0</t>
  </si>
  <si>
    <t>CommodityCo</t>
  </si>
  <si>
    <t>Hormuz disruption — export receivables collapse</t>
  </si>
  <si>
    <t>CLC breaches. Path A: deposit withdrawal from GlobalBankCo. Path C: gold liquidated.</t>
  </si>
  <si>
    <t>CLC</t>
  </si>
  <si>
    <t>Largest energy disruption in history (2.5% global energy supply)</t>
  </si>
  <si>
    <t>→ T+0b</t>
  </si>
  <si>
    <t>Hormuz</t>
  </si>
  <si>
    <t>T+0b</t>
  </si>
  <si>
    <t>GlobalBankCo</t>
  </si>
  <si>
    <t>CommodityCo deposit withdrawal + gold recycling</t>
  </si>
  <si>
    <t>DCR falls. Gold proceeds reload basis trade (false stabilization signal).</t>
  </si>
  <si>
    <t>DCR</t>
  </si>
  <si>
    <t>Gold recycling amplifies HedgeCo position before Path A fires</t>
  </si>
  <si>
    <t>→ T+1</t>
  </si>
  <si>
    <t>T+0c</t>
  </si>
  <si>
    <t>Pension redemption surge — Blue Owl mechanism</t>
  </si>
  <si>
    <t>Callable fraction 22% demanded. FinServCo liquid TSY = 0. Gate fires.</t>
  </si>
  <si>
    <t>Gate</t>
  </si>
  <si>
    <t>Simultaneous with Hormuz — no sequential buffer</t>
  </si>
  <si>
    <t>Blue Owl</t>
  </si>
  <si>
    <t>T+1</t>
  </si>
  <si>
    <t>Treasury market</t>
  </si>
  <si>
    <t>Three-sided selling: CommodityCo Path B + FinServCo gate + Official</t>
  </si>
  <si>
    <t>TSY sold simultaneously by three named sellers. Yield spike amplified by overlap.</t>
  </si>
  <si>
    <t>Yield spike (bps)</t>
  </si>
  <si>
    <t>Non-sequential selling → interior solution → faster yield move</t>
  </si>
  <si>
    <t>→ T+1b</t>
  </si>
  <si>
    <t>Joint</t>
  </si>
  <si>
    <t>T+1b</t>
  </si>
  <si>
    <t>ManuCo</t>
  </si>
  <si>
    <t>Tariff demand destruction fires</t>
  </si>
  <si>
    <t>CA deficit widens (Mundell-Fleming). ManuCo investment crowded out further. Wage bill shrinks.</t>
  </si>
  <si>
    <t>ManuCo IRR</t>
  </si>
  <si>
    <t>FRBSF Halbersleben/Jorda/Nechio: demand shock first, inflation later</t>
  </si>
  <si>
    <t>→ T+2</t>
  </si>
  <si>
    <t>Tariff</t>
  </si>
  <si>
    <t>T+2</t>
  </si>
  <si>
    <t>Basis trade margin call — yield spike + duration mix shift</t>
  </si>
  <si>
    <t>Long TSY marks down. Repo margin called. Duration mix shifts to bills — collateral shrinks.</t>
  </si>
  <si>
    <t>BTAR adj.</t>
  </si>
  <si>
    <t>Duration mix toggle: Treasury shifts to bills, basis trade collateral compressed</t>
  </si>
  <si>
    <t>→ T+2b</t>
  </si>
  <si>
    <t>T+2b</t>
  </si>
  <si>
    <t>AI/software stress — PC defaults begin</t>
  </si>
  <si>
    <t>Private credit book: 15% default. FinServCo triple hit: TSY + LP + PC simultaneously.</t>
  </si>
  <si>
    <t>PC loss ($B)</t>
  </si>
  <si>
    <t>Gate failed flag: illiquidity ratio &gt; 5 triggers cascade (not single-period gate)</t>
  </si>
  <si>
    <t>→ T+3</t>
  </si>
  <si>
    <t>T+3</t>
  </si>
  <si>
    <t>GATE FAILED — triple hit converts brake to cascade</t>
  </si>
  <si>
    <t>TSY MTM + LP loss + PC default &gt; equity buffer. Fire sale commences.</t>
  </si>
  <si>
    <t>Total stress ($B)</t>
  </si>
  <si>
    <t>Reviewer fix: gate is brake until illiq ratio &gt; 5 + PC default fire simultaneously</t>
  </si>
  <si>
    <t>→ T+4</t>
  </si>
  <si>
    <t>T+4</t>
  </si>
  <si>
    <t>Emergency absorption — all three pathways arrive simultaneously</t>
  </si>
  <si>
    <t>Absorbs: HedgeCo unwind + FinServCo TSY fire sale + CommodityCo Path B Treasury selling.</t>
  </si>
  <si>
    <t>κ divergence: accumulation rate &gt;&gt; TFP growth rate even at 7% TFP</t>
  </si>
  <si>
    <t>JapanCo_Rebalance -- COUNTERFACTUAL: Year 5 Policy Switch</t>
  </si>
  <si>
    <t>JapanCo increases domestic consumption from 38% to 44% GDP over 4 years starting Y5r</t>
  </si>
  <si>
    <t>Periods Y0-Y5 = base case (identical to main model). Y5r onward = counterfactual path.</t>
  </si>
  <si>
    <t>Period</t>
  </si>
  <si>
    <t>Y5r</t>
  </si>
  <si>
    <t>Y6r</t>
  </si>
  <si>
    <t>Y7r</t>
  </si>
  <si>
    <t>Y8r</t>
  </si>
  <si>
    <t>Y9r</t>
  </si>
  <si>
    <t>Y10r+</t>
  </si>
  <si>
    <t>PHASE</t>
  </si>
  <si>
    <t>BASE</t>
  </si>
  <si>
    <t>REBALANCE</t>
  </si>
  <si>
    <t>JAPANCO DOMESTIC -- REBALANCING PATH</t>
  </si>
  <si>
    <t>CA surplus ($B/yr)</t>
  </si>
  <si>
    <t xml:space="preserve">  surplus compression vs base ($B)</t>
  </si>
  <si>
    <t>JapGovCo deficit ($B/yr)</t>
  </si>
  <si>
    <t>JapGovCo debt / GDP (%)</t>
  </si>
  <si>
    <t>JapHH financial asset accumulation rate</t>
  </si>
  <si>
    <t>+36</t>
  </si>
  <si>
    <t>+37</t>
  </si>
  <si>
    <t>+38</t>
  </si>
  <si>
    <t>+39</t>
  </si>
  <si>
    <t>+45</t>
  </si>
  <si>
    <t>+52</t>
  </si>
  <si>
    <t>+60</t>
  </si>
  <si>
    <t>+68</t>
  </si>
  <si>
    <t>+72</t>
  </si>
  <si>
    <t>+74</t>
  </si>
  <si>
    <t>Domestic demand improvement: GDP growth lifts</t>
  </si>
  <si>
    <t>+0.5%</t>
  </si>
  <si>
    <t>+1.0%</t>
  </si>
  <si>
    <t>+1.2%</t>
  </si>
  <si>
    <t>+1.3%</t>
  </si>
  <si>
    <t>+1.1%</t>
  </si>
  <si>
    <t>AMERICO CIRCUIT -- CASCADE FROM JAPANCO REBALANCING</t>
  </si>
  <si>
    <t>GlobalBankCo repo book ($B)</t>
  </si>
  <si>
    <t>HedgeCo Treasury position ($B)</t>
  </si>
  <si>
    <t xml:space="preserve">  HedgeCo change vs base ($B)</t>
  </si>
  <si>
    <t>Suppressed yield gap (bps)</t>
  </si>
  <si>
    <t xml:space="preserve">  [NOTE: gap SNAPS at Y6r as HedgeCo sells into thin market before FedCo absorbs]</t>
  </si>
  <si>
    <t>Effective yield (%)</t>
  </si>
  <si>
    <t>FinServCo liquid TSY ($B)</t>
  </si>
  <si>
    <t>AmeriBankCo HQLA TSY ($B)</t>
  </si>
  <si>
    <t>BTAR</t>
  </si>
  <si>
    <t>ASSET PRICE AND HOUSEHOLDCO IMPACT</t>
  </si>
  <si>
    <t>CAPE (equity valuation index, base Y0=20)</t>
  </si>
  <si>
    <t xml:space="preserve">  CAPE change vs base</t>
  </si>
  <si>
    <t>Effective mortgage rate (% -- rises with yield)</t>
  </si>
  <si>
    <t>HH mortgage stock ($B)</t>
  </si>
  <si>
    <t>Housing price index (base=100)</t>
  </si>
  <si>
    <t>TRANSITION WINDOW -- WHY YEAR 5 MATTERS VS YEAR 9</t>
  </si>
  <si>
    <t>At Y5: FinServCo TSY = $33B (buffer exists). AmeriBankCo TSY = $17B. HedgeCo = $129B.</t>
  </si>
  <si>
    <t>At Y9: FinServCo TSY = $0B. AmeriBankCo TSY = $0B. HedgeCo = $189B. NO BUFFER.</t>
  </si>
  <si>
    <t>Y5 rebalancing: painful (yield snaps 120bps, CAPE -25%) but system has buffers.</t>
  </si>
  <si>
    <t>Y9 rebalancing: no buffer. HedgeCo unwind into market with zero secondary buyers.</t>
  </si>
  <si>
    <t>FedCo must absorb entire HedgeCo position. Balance sheet expansion = crisis.</t>
  </si>
  <si>
    <t>The longer rebalancing is deferred, the more disruptive the transition path.</t>
  </si>
  <si>
    <t>SFC CONSISTENCY NOTES</t>
  </si>
  <si>
    <t>Counterfactual is NOT SFC-closed -- it is a scenario analysis, not a balance sheet model.</t>
  </si>
  <si>
    <t>Key identities that would need to close in a full SFC counterfactual:</t>
  </si>
  <si>
    <t xml:space="preserve">  (1) Surplus compression = GlobalBankCo deposit reduction = repo reduction = HedgeCo TSY reduction</t>
  </si>
  <si>
    <t xml:space="preserve">  (2) HedgeCo TSY reduction = either FedCo absorption OR market yield rise (or both)</t>
  </si>
  <si>
    <t xml:space="preserve">  (3) Yield rise = ProdServiceCo valuation compression (DCF arithmetic)</t>
  </si>
  <si>
    <t xml:space="preserve">  (4) JapanCo consumption rise = JapGovCo deficit narrows (fiscal space opens)</t>
  </si>
  <si>
    <t xml:space="preserve">  (5) JapHH financial asset accumulation slows = JapBankCo JGB demand slows = JGB yield pressure</t>
  </si>
  <si>
    <t>CHANNEL A -- DOMESTIC REDISTRIBUTION (Import-Led Rebalancing)</t>
  </si>
  <si>
    <t>Mechanism: consumption rises through income redistribution. FX managed. Exports stable. Surplus compresses via imports.</t>
  </si>
  <si>
    <t>JapanCo consumption / GDP (%)</t>
  </si>
  <si>
    <t>JPY/USD (managed appreciation ~1-2% pa)</t>
  </si>
  <si>
    <t>CAPE (base Y0=20)</t>
  </si>
  <si>
    <t>ManuCo capital stock ($B) -- GRADUAL RECOVERY</t>
  </si>
  <si>
    <t>HH debt/wage ratio</t>
  </si>
  <si>
    <t>AmeriCo GDP impact (%)</t>
  </si>
  <si>
    <t>Channel A verdict: manageable transition, modest manufacturing recovery, JapanCo domestic stable</t>
  </si>
  <si>
    <t>CHANNEL B -- EXTERNAL FORCING (Plaza-Style FX Shock)</t>
  </si>
  <si>
    <t>Mechanism: FX appreciation forced (tariffs / political pressure). H3J: FX-&gt;exports p=0.0048***. H4J: exports-&gt;consumption reversal p=0.0142**. THIS IS WHAT PLAZA DID.</t>
  </si>
  <si>
    <t xml:space="preserve">  [NOTE: rises then REVERSES -- the H4J trap]</t>
  </si>
  <si>
    <t>JPY/USD (Plaza-style appreciation)</t>
  </si>
  <si>
    <t>Export volume index (base Y5=105)</t>
  </si>
  <si>
    <t>Export sector income index (base Y5=105)</t>
  </si>
  <si>
    <t>Suppressed yield gap (bps) -- SNAPS SHARPLY</t>
  </si>
  <si>
    <t>Effective yield (%) -- PLAZA-EQUIVALENT SPIKE</t>
  </si>
  <si>
    <t>CAPE (base Y0=20) -- SHARP CORRECTION</t>
  </si>
  <si>
    <t>ManuCo capital stock ($B) -- STRONGER RECOVERY</t>
  </si>
  <si>
    <t>HH debt/wage ratio -- SPIKES THEN FALLS</t>
  </si>
  <si>
    <t>AmeriCo GDP impact (%) -- PLAZA DAMAGE ARC</t>
  </si>
  <si>
    <t>JapanCo domestic GDP impact (%) -- INCOME REVERSAL</t>
  </si>
  <si>
    <t>Channel B verdict: sharp transition, larger manufacturing recovery, but JapanCo income reversal -- the Japan lesson</t>
  </si>
  <si>
    <t>CHANNEL COMPARISON -- AmeriCo Gets Thumped Either Way</t>
  </si>
  <si>
    <t>METRIC</t>
  </si>
  <si>
    <t>--CHANNEL A--</t>
  </si>
  <si>
    <t>Peak yield snap (bps)</t>
  </si>
  <si>
    <t>60</t>
  </si>
  <si>
    <t>180</t>
  </si>
  <si>
    <t>140</t>
  </si>
  <si>
    <t>90</t>
  </si>
  <si>
    <t>50</t>
  </si>
  <si>
    <t>20</t>
  </si>
  <si>
    <t>CAPE peak correction (%)</t>
  </si>
  <si>
    <t>-14</t>
  </si>
  <si>
    <t xml:space="preserve"> </t>
  </si>
  <si>
    <t>ManuCo recovery ($B)</t>
  </si>
  <si>
    <t>205</t>
  </si>
  <si>
    <t>222</t>
  </si>
  <si>
    <t>AmeriCo GDP trough impact (%)</t>
  </si>
  <si>
    <t>-0.3</t>
  </si>
  <si>
    <t>JapanCo domestic pain (GDP %)</t>
  </si>
  <si>
    <t>0</t>
  </si>
  <si>
    <t>Rebalancing completed by</t>
  </si>
  <si>
    <t>THE PLAZA VALIDATION</t>
  </si>
  <si>
    <t>Channel B is what Plaza Accord did to Japan in 1985-1987.</t>
  </si>
  <si>
    <t>Yen appreciated ~50% in 2 years (more aggressive than modeled here).</t>
  </si>
  <si>
    <t>H3J confirmed p=0.0048***: FX appreciation -&gt; export decline.</t>
  </si>
  <si>
    <t>H4J confirmed p=0.0142**: Export decline -&gt; consumption reversal.</t>
  </si>
  <si>
    <t>Japan domestic income fell as export sector contracted.</t>
  </si>
  <si>
    <t>BoJ eased aggressively to offset income loss -&gt; bubble inflated.</t>
  </si>
  <si>
    <t>Bubble burst 1990. Lost decade followed.</t>
  </si>
  <si>
    <t>AmeriCo manufacturing recovery from Plaza was incomplete:</t>
  </si>
  <si>
    <t xml:space="preserve">  PRC emerged as new surplus accumulator (WTO 2001).</t>
  </si>
  <si>
    <t xml:space="preserve">  New JapanCo replaced old JapanCo before US could recover.</t>
  </si>
  <si>
    <t xml:space="preserve">  The curse continued under new management.</t>
  </si>
  <si>
    <t>Channel A (managed redistribution) avoids the income reversal</t>
  </si>
  <si>
    <t xml:space="preserve">  but requires political will PRC has not demonstrated.</t>
  </si>
  <si>
    <t>Channel B (forced appreciation via tariffs/pressure) produces</t>
  </si>
  <si>
    <t xml:space="preserve">  larger AmeriCo manufacturing recovery but Plaza-style damage</t>
  </si>
  <si>
    <t xml:space="preserve">  to JapanCo AND to AmeriCo financial markets in transition.</t>
  </si>
  <si>
    <t>CONCLUSION: AmeriCo gets thumped in either channel.</t>
  </si>
  <si>
    <t>The difference is degree, duration, and JapanCo domestic outcome.</t>
  </si>
  <si>
    <t>GRA provides Channel C: gradual managed transition that avoids</t>
  </si>
  <si>
    <t xml:space="preserve">  both the income reversal (Channel B) and the indefinite deferral</t>
  </si>
  <si>
    <t xml:space="preserve">  (current path). Buffer fund absorbs accounting loss centrally.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</si>
</sst>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\$#,##0;&quot;($&quot;#,##0\);\-"/>
    <numFmt numFmtId="165" formatCode="0.0%"/>
    <numFmt numFmtId="166" formatCode="0&quot;bps&quot;"/>
    <numFmt numFmtId="167" formatCode="0.0"/>
    <numFmt numFmtId="168" formatCode="\$#,##0"/>
    <numFmt numFmtId="169" formatCode="0.00\x"/>
    <numFmt numFmtId="170" formatCode="0.00;\(0.00\);\-"/>
    <numFmt numFmtId="171" formatCode="0.0\x"/>
    <numFmt numFmtId="172" formatCode="0.0\x;\(0.0&quot;x)&quot;;\-"/>
    <numFmt numFmtId="173" formatCode="\$#,##0.0;&quot;($&quot;#,##0.0\);\-"/>
    <numFmt numFmtId="174" formatCode="0;\(0\);\-"/>
    <numFmt numFmtId="175" formatCode="0.0%;\(0.0%\);\-"/>
    <numFmt numFmtId="176" formatCode="\$#,##0.0"/>
  </numFmts>
  <fonts count="62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i/>
      <sz val="9"/>
      <color rgb="FF555555"/>
      <name val="Arial"/>
      <charset val="1"/>
    </font>
    <font>
      <sz val="10"/>
      <color rgb="FF0000FF"/>
      <name val="Arial"/>
      <charset val="1"/>
    </font>
    <font>
      <b/>
      <sz val="10"/>
      <color rgb="FF003399"/>
      <name val="Arial"/>
      <charset val="1"/>
    </font>
    <font>
      <b/>
      <sz val="12"/>
      <color rgb="FFFFFFFF"/>
      <name val="Arial"/>
      <charset val="1"/>
    </font>
    <font>
      <sz val="10"/>
      <color rgb="FF006400"/>
      <name val="Arial"/>
      <charset val="1"/>
    </font>
    <font>
      <b/>
      <sz val="10"/>
      <color rgb="FF000000"/>
      <name val="Arial"/>
      <charset val="1"/>
    </font>
    <font>
      <b/>
      <sz val="10"/>
      <color rgb="FF00008B"/>
      <name val="Arial"/>
      <charset val="1"/>
    </font>
    <font>
      <i/>
      <sz val="9"/>
      <color rgb="FF666666"/>
      <name val="Arial"/>
      <charset val="1"/>
    </font>
    <font>
      <sz val="10"/>
      <color rgb="FF003399"/>
      <name val="Arial"/>
      <charset val="1"/>
    </font>
    <font>
      <b/>
      <sz val="10"/>
      <color rgb="FF8B0000"/>
      <name val="Arial"/>
      <charset val="1"/>
    </font>
    <font>
      <sz val="10"/>
      <color rgb="FF8B0000"/>
      <name val="Arial"/>
      <charset val="1"/>
    </font>
    <font>
      <sz val="10"/>
      <color rgb="FFB8860B"/>
      <name val="Arial"/>
      <charset val="1"/>
    </font>
    <font>
      <b/>
      <sz val="10"/>
      <color rgb="FFCC0000"/>
      <name val="Arial"/>
      <charset val="1"/>
    </font>
    <font>
      <sz val="10"/>
      <color rgb="FFCC0000"/>
      <name val="Arial"/>
      <charset val="1"/>
    </font>
    <font>
      <i/>
      <sz val="9"/>
      <color rgb="FF8B4000"/>
      <name val="Arial"/>
      <charset val="1"/>
    </font>
    <font>
      <b/>
      <sz val="10"/>
      <color rgb="FFB8860B"/>
      <name val="Arial"/>
      <charset val="1"/>
    </font>
    <font>
      <sz val="10"/>
      <color rgb="FF4B0082"/>
      <name val="Arial"/>
      <charset val="1"/>
    </font>
    <font>
      <sz val="10"/>
      <color rgb="FF990000"/>
      <name val="Arial"/>
      <charset val="1"/>
    </font>
    <font>
      <b/>
      <sz val="11"/>
      <color rgb="FF1F3864"/>
      <name val="Arial"/>
      <charset val="1"/>
    </font>
    <font>
      <i/>
      <sz val="10"/>
      <color rgb="FF444444"/>
      <name val="Arial"/>
      <charset val="1"/>
    </font>
    <font>
      <b/>
      <sz val="9"/>
      <color rgb="FFFFFFFF"/>
      <name val="Arial"/>
      <charset val="1"/>
    </font>
    <font>
      <b/>
      <sz val="11"/>
      <color rgb="FF90EE90"/>
      <name val="Arial"/>
      <charset val="1"/>
    </font>
    <font>
      <b/>
      <sz val="9"/>
      <color rgb="FFAAFFAA"/>
      <name val="Arial"/>
      <charset val="1"/>
    </font>
    <font>
      <sz val="10"/>
      <color rgb="FF00AA00"/>
      <name val="Arial"/>
      <charset val="1"/>
    </font>
    <font>
      <i/>
      <sz val="9"/>
      <color rgb="FFB8860B"/>
      <name val="Arial"/>
      <charset val="1"/>
    </font>
    <font>
      <b/>
      <sz val="11"/>
      <color rgb="FFADD8FF"/>
      <name val="Arial"/>
      <charset val="1"/>
    </font>
    <font>
      <b/>
      <sz val="9"/>
      <color rgb="FFCCE5FF"/>
      <name val="Arial"/>
      <charset val="1"/>
    </font>
    <font>
      <b/>
      <sz val="11"/>
      <color rgb="FFFFAAAA"/>
      <name val="Arial"/>
      <charset val="1"/>
    </font>
    <font>
      <b/>
      <sz val="9"/>
      <color rgb="FFFFCCCC"/>
      <name val="Arial"/>
      <charset val="1"/>
    </font>
    <font>
      <b/>
      <sz val="11"/>
      <color rgb="FFFFFF99"/>
      <name val="Arial"/>
      <charset val="1"/>
    </font>
    <font>
      <b/>
      <sz val="11"/>
      <color rgb="FF99FFFF"/>
      <name val="Arial"/>
      <charset val="1"/>
    </font>
    <font>
      <i/>
      <sz val="10"/>
      <color rgb="FF006666"/>
      <name val="Arial"/>
      <charset val="1"/>
    </font>
    <font>
      <b/>
      <sz val="9"/>
      <color rgb="FFCC0000"/>
      <name val="Arial"/>
      <charset val="1"/>
    </font>
    <font>
      <b/>
      <sz val="9"/>
      <color rgb="FF000000"/>
      <name val="Arial"/>
    </font>
    <font>
      <b/>
      <sz val="9"/>
      <color rgb="FFFFFFFF"/>
      <name val="Arial"/>
    </font>
    <font>
      <sz val="9"/>
      <color rgb="FF0000CC"/>
      <name val="Arial"/>
    </font>
    <font>
      <sz val="9"/>
      <color rgb="FF000000"/>
      <name val="Arial"/>
    </font>
    <font>
      <b/>
      <sz val="10"/>
      <color rgb="FFFFFFFF"/>
      <name val="Arial"/>
    </font>
    <font>
      <sz val="9"/>
      <color rgb="FF546E7A"/>
      <name val="Arial"/>
    </font>
    <font>
      <sz val="9"/>
      <color rgb="FF1565A3"/>
      <name val="Arial"/>
    </font>
    <font>
      <sz val="8"/>
      <color rgb="FF546E7A"/>
      <name val="Arial"/>
    </font>
    <font>
      <sz val="8"/>
      <color rgb="FF78909C"/>
      <name val="Arial"/>
    </font>
    <font>
      <i/>
      <sz val="8"/>
      <color rgb="FFB71C1C"/>
      <name val="Arial"/>
    </font>
    <font>
      <b/>
      <sz val="9"/>
      <name val="Arial"/>
    </font>
    <font>
      <sz val="9"/>
      <name val="Arial"/>
    </font>
    <font>
      <sz val="9"/>
      <color rgb="FFB71C1C"/>
      <name val="Arial"/>
    </font>
    <font>
      <sz val="9"/>
      <color rgb="FF008000"/>
      <name val="Arial"/>
    </font>
    <font>
      <b/>
      <sz val="9"/>
      <color rgb="FFB71C1C"/>
      <name val="Arial"/>
    </font>
    <font>
      <b/>
      <sz val="9"/>
      <color rgb="FF1A237E"/>
      <name val="Arial"/>
    </font>
    <font>
      <sz val="8"/>
      <color rgb="FFFFFFFF"/>
      <name val="Arial"/>
    </font>
    <font>
      <b/>
      <sz val="10"/>
      <name val="Calibri"/>
    </font>
    <font>
      <i/>
      <sz val="9"/>
      <name val="Calibri"/>
    </font>
    <font>
      <b/>
      <sz val="12"/>
      <name val="Calibri"/>
    </font>
    <font>
      <b/>
      <sz val="11"/>
      <name val="Calibri"/>
    </font>
    <font>
      <b/>
      <sz val="10"/>
      <color rgb="FFFFFFFF"/>
      <name val="Calibri"/>
    </font>
  </fonts>
  <fills count="53">
    <fill>
      <patternFill patternType="none"/>
    </fill>
    <fill>
      <patternFill patternType="gray125"/>
    </fill>
    <fill>
      <patternFill patternType="solid">
        <fgColor rgb="FF1F3864"/>
        <bgColor rgb="FF293B57"/>
      </patternFill>
    </fill>
    <fill>
      <patternFill patternType="solid">
        <fgColor rgb="FFD9E2F3"/>
        <bgColor rgb="FFDBEAFE"/>
      </patternFill>
    </fill>
    <fill>
      <patternFill patternType="solid">
        <fgColor rgb="FF2E75B6"/>
        <bgColor rgb="FF4472C4"/>
      </patternFill>
    </fill>
    <fill>
      <patternFill patternType="solid">
        <fgColor rgb="FFFFF9E0"/>
        <bgColor rgb="FFFFFBE0"/>
      </patternFill>
    </fill>
    <fill>
      <patternFill patternType="solid">
        <fgColor rgb="FFDBEAFE"/>
        <bgColor rgb="FFE0EEFF"/>
      </patternFill>
    </fill>
    <fill>
      <patternFill patternType="solid">
        <fgColor rgb="FFE8F4E8"/>
        <bgColor rgb="FFF0F0F0"/>
      </patternFill>
    </fill>
    <fill>
      <patternFill patternType="solid">
        <fgColor rgb="FFFFF0E8"/>
        <bgColor rgb="FFFFF9E6"/>
      </patternFill>
    </fill>
    <fill>
      <patternFill patternType="solid">
        <fgColor rgb="FFFFFFFF"/>
        <bgColor rgb="FFFFFDE7"/>
      </patternFill>
    </fill>
    <fill>
      <patternFill patternType="solid">
        <fgColor rgb="FFFFFBE0"/>
        <bgColor rgb="FFFFF9E0"/>
      </patternFill>
    </fill>
    <fill>
      <patternFill patternType="solid">
        <fgColor rgb="FF4472C4"/>
        <bgColor rgb="FF2E75B6"/>
      </patternFill>
    </fill>
    <fill>
      <patternFill patternType="solid">
        <fgColor rgb="FFE0EEFF"/>
        <bgColor rgb="FFDBEAFE"/>
      </patternFill>
    </fill>
    <fill>
      <patternFill patternType="solid">
        <fgColor rgb="FFE8F4FD"/>
        <bgColor rgb="FFE0EEFF"/>
      </patternFill>
    </fill>
    <fill>
      <patternFill patternType="solid">
        <fgColor rgb="FFFFF2CC"/>
        <bgColor rgb="FFFFF9C4"/>
      </patternFill>
    </fill>
    <fill>
      <patternFill patternType="solid">
        <fgColor rgb="FFF0FFF0"/>
        <bgColor rgb="FFF5F5F5"/>
      </patternFill>
    </fill>
    <fill>
      <patternFill patternType="solid">
        <fgColor rgb="FFF0F0F0"/>
        <bgColor rgb="FFF5F5F5"/>
      </patternFill>
    </fill>
    <fill>
      <patternFill patternType="solid">
        <fgColor rgb="FFFFE0E0"/>
        <bgColor rgb="FFFFF0E8"/>
      </patternFill>
    </fill>
    <fill>
      <patternFill patternType="solid">
        <fgColor rgb="FFFFFDE7"/>
        <bgColor rgb="FFFFFBE0"/>
      </patternFill>
    </fill>
    <fill>
      <patternFill patternType="solid">
        <fgColor rgb="FFFFF9E6"/>
        <bgColor rgb="FFFFF9E0"/>
      </patternFill>
    </fill>
    <fill>
      <patternFill patternType="solid">
        <fgColor rgb="FF7030A0"/>
        <bgColor rgb="FF323E4D"/>
      </patternFill>
    </fill>
    <fill>
      <patternFill patternType="solid">
        <fgColor rgb="FFEEE0FF"/>
        <bgColor rgb="FFD9E2F3"/>
      </patternFill>
    </fill>
    <fill>
      <patternFill patternType="solid">
        <fgColor rgb="FFC00000"/>
        <bgColor rgb="FFCC0000"/>
      </patternFill>
    </fill>
    <fill>
      <patternFill patternType="solid">
        <fgColor rgb="FFF5F5F5"/>
        <bgColor rgb="FFF0F0F0"/>
      </patternFill>
    </fill>
    <fill>
      <patternFill patternType="solid">
        <fgColor rgb="FF293B57"/>
        <bgColor rgb="FF2C3E50"/>
      </patternFill>
    </fill>
    <fill>
      <patternFill patternType="solid">
        <fgColor rgb="FF1A2F1A"/>
        <bgColor rgb="FF1A2F2F"/>
      </patternFill>
    </fill>
    <fill>
      <patternFill patternType="solid">
        <fgColor rgb="FFFFF9C4"/>
        <bgColor rgb="FFFFF2CC"/>
      </patternFill>
    </fill>
    <fill>
      <patternFill patternType="solid">
        <fgColor rgb="FF1A1A2F"/>
        <bgColor rgb="FF1A2F2F"/>
      </patternFill>
    </fill>
    <fill>
      <patternFill patternType="mediumGray">
        <fgColor rgb="FF0E0643"/>
        <bgColor rgb="FF1A1A2F"/>
      </patternFill>
    </fill>
    <fill>
      <patternFill patternType="solid">
        <fgColor rgb="FF2F2F1A"/>
        <bgColor rgb="FF1A2F1A"/>
      </patternFill>
    </fill>
    <fill>
      <patternFill patternType="solid">
        <fgColor rgb="FF2C3E50"/>
        <bgColor rgb="FF323E4D"/>
      </patternFill>
    </fill>
    <fill>
      <patternFill patternType="solid">
        <fgColor rgb="FF1A2F2F"/>
        <bgColor rgb="FF1A2F1A"/>
      </patternFill>
    </fill>
    <fill>
      <patternFill patternType="solid">
        <fgColor rgb="FFE0FFFF"/>
        <bgColor rgb="FFE8F4FD"/>
      </patternFill>
    </fill>
    <fill>
      <patternFill patternType="darkGray">
        <fgColor rgb="FF2C3E50"/>
        <bgColor rgb="FF323E4D"/>
      </patternFill>
    </fill>
    <fill>
      <patternFill patternType="solid">
        <fgColor rgb="FF37474F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BF360C"/>
      </patternFill>
    </fill>
    <fill>
      <patternFill patternType="solid">
        <fgColor rgb="FFFFF3E0"/>
      </patternFill>
    </fill>
    <fill>
      <patternFill patternType="solid">
        <fgColor rgb="FF1565A3"/>
      </patternFill>
    </fill>
    <fill>
      <patternFill patternType="solid">
        <fgColor rgb="FFE3F2FD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FDE7"/>
      </patternFill>
    </fill>
    <fill>
      <patternFill patternType="solid">
        <fgColor rgb="FFFFCDD2"/>
      </patternFill>
    </fill>
    <fill>
      <patternFill patternType="solid">
        <fgColor rgb="FF455A64"/>
      </patternFill>
    </fill>
    <fill>
      <patternFill patternType="solid">
        <fgColor rgb="FF1A237E"/>
      </patternFill>
    </fill>
    <fill>
      <patternFill patternType="solid">
        <fgColor rgb="FF0D1B4B"/>
      </patternFill>
    </fill>
    <fill>
      <patternFill patternType="solid">
        <fgColor rgb="FF1F4E79"/>
        <bgColor rgb="FF1F4E79"/>
      </patternFill>
    </fill>
    <fill>
      <patternFill patternType="solid">
        <fgColor rgb="FF2E4057"/>
        <bgColor rgb="FF2E4057"/>
      </patternFill>
    </fill>
    <fill>
      <patternFill patternType="solid">
        <fgColor rgb="FF7B2D2D"/>
        <bgColor rgb="FF7B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wrapText="1"/>
    </xf>
    <xf numFmtId="164" fontId="8" fillId="5" borderId="0" xfId="0" applyNumberFormat="1" applyFont="1" applyFill="1" applyAlignment="1">
      <alignment horizontal="right"/>
    </xf>
    <xf numFmtId="165" fontId="8" fillId="5" borderId="0" xfId="0" applyNumberFormat="1" applyFont="1" applyFill="1" applyAlignment="1">
      <alignment horizontal="right"/>
    </xf>
    <xf numFmtId="1" fontId="8" fillId="5" borderId="0" xfId="0" applyNumberFormat="1" applyFont="1" applyFill="1" applyAlignment="1">
      <alignment horizontal="right"/>
    </xf>
    <xf numFmtId="0" fontId="8" fillId="0" borderId="0" xfId="0" applyFont="1"/>
    <xf numFmtId="164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6" fontId="8" fillId="5" borderId="0" xfId="0" applyNumberFormat="1" applyFont="1" applyFill="1" applyAlignment="1">
      <alignment horizontal="right"/>
    </xf>
    <xf numFmtId="167" fontId="9" fillId="0" borderId="0" xfId="0" applyNumberFormat="1" applyFont="1" applyAlignment="1">
      <alignment horizontal="right"/>
    </xf>
    <xf numFmtId="164" fontId="9" fillId="5" borderId="0" xfId="0" applyNumberFormat="1" applyFont="1" applyFill="1" applyAlignment="1">
      <alignment horizontal="right"/>
    </xf>
    <xf numFmtId="0" fontId="6" fillId="2" borderId="0" xfId="0" applyFont="1" applyFill="1"/>
    <xf numFmtId="0" fontId="2" fillId="6" borderId="0" xfId="0" applyFont="1" applyFill="1"/>
    <xf numFmtId="168" fontId="9" fillId="6" borderId="0" xfId="0" applyNumberFormat="1" applyFont="1" applyFill="1" applyAlignment="1">
      <alignment horizontal="right"/>
    </xf>
    <xf numFmtId="2" fontId="9" fillId="6" borderId="0" xfId="0" applyNumberFormat="1" applyFont="1" applyFill="1" applyAlignment="1">
      <alignment horizontal="right"/>
    </xf>
    <xf numFmtId="0" fontId="2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wrapText="1"/>
    </xf>
    <xf numFmtId="164" fontId="11" fillId="7" borderId="0" xfId="0" applyNumberFormat="1" applyFont="1" applyFill="1" applyAlignment="1">
      <alignment horizontal="right"/>
    </xf>
    <xf numFmtId="164" fontId="8" fillId="7" borderId="0" xfId="0" applyNumberFormat="1" applyFont="1" applyFill="1" applyAlignment="1">
      <alignment horizontal="right"/>
    </xf>
    <xf numFmtId="164" fontId="2" fillId="7" borderId="0" xfId="0" applyNumberFormat="1" applyFont="1" applyFill="1" applyAlignment="1">
      <alignment horizontal="right"/>
    </xf>
    <xf numFmtId="0" fontId="0" fillId="7" borderId="0" xfId="0" applyFill="1"/>
    <xf numFmtId="0" fontId="12" fillId="7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wrapText="1"/>
    </xf>
    <xf numFmtId="164" fontId="2" fillId="8" borderId="0" xfId="0" applyNumberFormat="1" applyFont="1" applyFill="1" applyAlignment="1">
      <alignment horizontal="right"/>
    </xf>
    <xf numFmtId="0" fontId="0" fillId="8" borderId="0" xfId="0" applyFill="1"/>
    <xf numFmtId="164" fontId="8" fillId="8" borderId="0" xfId="0" applyNumberFormat="1" applyFont="1" applyFill="1" applyAlignment="1">
      <alignment horizontal="right"/>
    </xf>
    <xf numFmtId="0" fontId="12" fillId="8" borderId="0" xfId="0" applyFont="1" applyFill="1" applyAlignment="1">
      <alignment horizontal="left" vertical="center" wrapText="1"/>
    </xf>
    <xf numFmtId="0" fontId="12" fillId="10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left" wrapText="1"/>
    </xf>
    <xf numFmtId="164" fontId="2" fillId="10" borderId="0" xfId="0" applyNumberFormat="1" applyFont="1" applyFill="1" applyAlignment="1">
      <alignment horizontal="right"/>
    </xf>
    <xf numFmtId="0" fontId="6" fillId="11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 wrapText="1"/>
    </xf>
    <xf numFmtId="0" fontId="7" fillId="12" borderId="0" xfId="0" applyFont="1" applyFill="1" applyAlignment="1">
      <alignment horizontal="left" wrapText="1"/>
    </xf>
    <xf numFmtId="2" fontId="2" fillId="12" borderId="0" xfId="0" applyNumberFormat="1" applyFont="1" applyFill="1" applyAlignment="1">
      <alignment horizontal="right"/>
    </xf>
    <xf numFmtId="165" fontId="2" fillId="1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left" wrapText="1"/>
    </xf>
    <xf numFmtId="0" fontId="2" fillId="13" borderId="0" xfId="0" applyFont="1" applyFill="1" applyAlignment="1">
      <alignment horizontal="left" wrapText="1"/>
    </xf>
    <xf numFmtId="0" fontId="14" fillId="0" borderId="0" xfId="0" applyFont="1" applyAlignment="1">
      <alignment horizontal="left" wrapText="1"/>
    </xf>
    <xf numFmtId="164" fontId="11" fillId="13" borderId="0" xfId="0" applyNumberFormat="1" applyFont="1" applyFill="1" applyAlignment="1">
      <alignment horizontal="right"/>
    </xf>
    <xf numFmtId="164" fontId="15" fillId="13" borderId="0" xfId="0" applyNumberFormat="1" applyFont="1" applyFill="1" applyAlignment="1">
      <alignment horizontal="right"/>
    </xf>
    <xf numFmtId="0" fontId="16" fillId="14" borderId="0" xfId="0" applyFont="1" applyFill="1" applyAlignment="1">
      <alignment horizontal="left" wrapText="1"/>
    </xf>
    <xf numFmtId="0" fontId="2" fillId="14" borderId="0" xfId="0" applyFont="1" applyFill="1" applyAlignment="1">
      <alignment horizontal="left" wrapText="1"/>
    </xf>
    <xf numFmtId="164" fontId="2" fillId="14" borderId="0" xfId="0" applyNumberFormat="1" applyFont="1" applyFill="1" applyAlignment="1">
      <alignment horizontal="right"/>
    </xf>
    <xf numFmtId="164" fontId="11" fillId="14" borderId="0" xfId="0" applyNumberFormat="1" applyFont="1" applyFill="1" applyAlignment="1">
      <alignment horizontal="right"/>
    </xf>
    <xf numFmtId="0" fontId="2" fillId="15" borderId="0" xfId="0" applyFont="1" applyFill="1" applyAlignment="1">
      <alignment horizontal="left" wrapText="1"/>
    </xf>
    <xf numFmtId="164" fontId="2" fillId="15" borderId="0" xfId="0" applyNumberFormat="1" applyFont="1" applyFill="1" applyAlignment="1">
      <alignment horizontal="right"/>
    </xf>
    <xf numFmtId="0" fontId="17" fillId="15" borderId="0" xfId="0" applyFont="1" applyFill="1" applyAlignment="1">
      <alignment horizontal="left" wrapText="1"/>
    </xf>
    <xf numFmtId="164" fontId="17" fillId="15" borderId="0" xfId="0" applyNumberFormat="1" applyFont="1" applyFill="1" applyAlignment="1">
      <alignment horizontal="right"/>
    </xf>
    <xf numFmtId="0" fontId="12" fillId="16" borderId="0" xfId="0" applyFont="1" applyFill="1" applyAlignment="1">
      <alignment horizontal="left" wrapText="1"/>
    </xf>
    <xf numFmtId="0" fontId="2" fillId="16" borderId="0" xfId="0" applyFont="1" applyFill="1" applyAlignment="1">
      <alignment horizontal="left" wrapText="1"/>
    </xf>
    <xf numFmtId="165" fontId="15" fillId="16" borderId="0" xfId="0" applyNumberFormat="1" applyFont="1" applyFill="1" applyAlignment="1">
      <alignment horizontal="right"/>
    </xf>
    <xf numFmtId="164" fontId="2" fillId="12" borderId="0" xfId="0" applyNumberFormat="1" applyFont="1" applyFill="1" applyAlignment="1">
      <alignment horizontal="right"/>
    </xf>
    <xf numFmtId="0" fontId="0" fillId="12" borderId="0" xfId="0" applyFill="1"/>
    <xf numFmtId="49" fontId="2" fillId="1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4" fontId="1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164" fontId="11" fillId="8" borderId="0" xfId="0" applyNumberFormat="1" applyFont="1" applyFill="1" applyAlignment="1">
      <alignment horizontal="right"/>
    </xf>
    <xf numFmtId="169" fontId="2" fillId="12" borderId="0" xfId="0" applyNumberFormat="1" applyFont="1" applyFill="1" applyAlignment="1">
      <alignment horizontal="right"/>
    </xf>
    <xf numFmtId="0" fontId="19" fillId="17" borderId="0" xfId="0" applyFont="1" applyFill="1" applyAlignment="1">
      <alignment horizontal="left" wrapText="1"/>
    </xf>
    <xf numFmtId="0" fontId="0" fillId="17" borderId="0" xfId="0" applyFill="1"/>
    <xf numFmtId="49" fontId="20" fillId="17" borderId="0" xfId="0" applyNumberFormat="1" applyFont="1" applyFill="1" applyAlignment="1">
      <alignment horizontal="center"/>
    </xf>
    <xf numFmtId="169" fontId="18" fillId="0" borderId="0" xfId="0" applyNumberFormat="1" applyFont="1" applyAlignment="1">
      <alignment horizontal="right"/>
    </xf>
    <xf numFmtId="0" fontId="18" fillId="18" borderId="0" xfId="0" applyFont="1" applyFill="1" applyAlignment="1">
      <alignment horizontal="left" wrapText="1"/>
    </xf>
    <xf numFmtId="0" fontId="18" fillId="18" borderId="0" xfId="0" applyFont="1" applyFill="1" applyAlignment="1">
      <alignment horizontal="center"/>
    </xf>
    <xf numFmtId="0" fontId="14" fillId="0" borderId="0" xfId="0" applyFont="1"/>
    <xf numFmtId="0" fontId="16" fillId="16" borderId="0" xfId="0" applyFont="1" applyFill="1" applyAlignment="1">
      <alignment horizontal="left" wrapText="1"/>
    </xf>
    <xf numFmtId="170" fontId="17" fillId="16" borderId="0" xfId="0" applyNumberFormat="1" applyFont="1" applyFill="1" applyAlignment="1">
      <alignment horizontal="right"/>
    </xf>
    <xf numFmtId="0" fontId="21" fillId="19" borderId="0" xfId="0" applyFont="1" applyFill="1" applyAlignment="1">
      <alignment horizontal="left" wrapText="1"/>
    </xf>
    <xf numFmtId="0" fontId="22" fillId="18" borderId="0" xfId="0" applyFont="1" applyFill="1" applyAlignment="1">
      <alignment horizontal="left" wrapText="1"/>
    </xf>
    <xf numFmtId="2" fontId="18" fillId="0" borderId="0" xfId="0" applyNumberFormat="1" applyFont="1" applyAlignment="1">
      <alignment horizontal="right"/>
    </xf>
    <xf numFmtId="0" fontId="6" fillId="20" borderId="0" xfId="0" applyFont="1" applyFill="1" applyAlignment="1">
      <alignment horizontal="left" vertical="center"/>
    </xf>
    <xf numFmtId="0" fontId="2" fillId="21" borderId="0" xfId="0" applyFont="1" applyFill="1" applyAlignment="1">
      <alignment horizontal="left" vertical="center" wrapText="1"/>
    </xf>
    <xf numFmtId="0" fontId="7" fillId="21" borderId="0" xfId="0" applyFont="1" applyFill="1" applyAlignment="1">
      <alignment horizontal="left" wrapText="1"/>
    </xf>
    <xf numFmtId="164" fontId="23" fillId="21" borderId="0" xfId="0" applyNumberFormat="1" applyFont="1" applyFill="1" applyAlignment="1">
      <alignment horizontal="right"/>
    </xf>
    <xf numFmtId="171" fontId="2" fillId="12" borderId="0" xfId="0" applyNumberFormat="1" applyFont="1" applyFill="1" applyAlignment="1">
      <alignment horizontal="right"/>
    </xf>
    <xf numFmtId="165" fontId="15" fillId="12" borderId="0" xfId="0" applyNumberFormat="1" applyFont="1" applyFill="1" applyAlignment="1">
      <alignment horizontal="right"/>
    </xf>
    <xf numFmtId="164" fontId="2" fillId="21" borderId="0" xfId="0" applyNumberFormat="1" applyFont="1" applyFill="1" applyAlignment="1">
      <alignment horizontal="right"/>
    </xf>
    <xf numFmtId="0" fontId="14" fillId="12" borderId="0" xfId="0" applyFont="1" applyFill="1" applyAlignment="1">
      <alignment horizontal="left" wrapText="1"/>
    </xf>
    <xf numFmtId="172" fontId="11" fillId="16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left" wrapText="1"/>
    </xf>
    <xf numFmtId="164" fontId="11" fillId="16" borderId="0" xfId="0" applyNumberFormat="1" applyFont="1" applyFill="1" applyAlignment="1">
      <alignment horizontal="right"/>
    </xf>
    <xf numFmtId="0" fontId="6" fillId="22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 wrapText="1"/>
    </xf>
    <xf numFmtId="0" fontId="7" fillId="17" borderId="0" xfId="0" applyFont="1" applyFill="1" applyAlignment="1">
      <alignment horizontal="left" wrapText="1"/>
    </xf>
    <xf numFmtId="164" fontId="8" fillId="17" borderId="0" xfId="0" applyNumberFormat="1" applyFont="1" applyFill="1" applyAlignment="1">
      <alignment horizontal="right"/>
    </xf>
    <xf numFmtId="164" fontId="24" fillId="17" borderId="0" xfId="0" applyNumberFormat="1" applyFont="1" applyFill="1" applyAlignment="1">
      <alignment horizontal="right"/>
    </xf>
    <xf numFmtId="164" fontId="2" fillId="16" borderId="0" xfId="0" applyNumberFormat="1" applyFont="1" applyFill="1" applyAlignment="1">
      <alignment horizontal="right"/>
    </xf>
    <xf numFmtId="164" fontId="20" fillId="16" borderId="0" xfId="0" applyNumberFormat="1" applyFont="1" applyFill="1" applyAlignment="1">
      <alignment horizontal="right"/>
    </xf>
    <xf numFmtId="0" fontId="12" fillId="3" borderId="0" xfId="0" applyFont="1" applyFill="1" applyAlignment="1">
      <alignment horizontal="left" vertical="center" wrapText="1"/>
    </xf>
    <xf numFmtId="0" fontId="25" fillId="3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170" fontId="2" fillId="0" borderId="0" xfId="0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174" fontId="18" fillId="0" borderId="0" xfId="0" applyNumberFormat="1" applyFont="1" applyAlignment="1">
      <alignment horizontal="right"/>
    </xf>
    <xf numFmtId="170" fontId="18" fillId="0" borderId="0" xfId="0" applyNumberFormat="1" applyFont="1" applyAlignment="1">
      <alignment horizontal="right"/>
    </xf>
    <xf numFmtId="0" fontId="3" fillId="0" borderId="0" xfId="0" applyFont="1"/>
    <xf numFmtId="0" fontId="12" fillId="17" borderId="0" xfId="0" applyFont="1" applyFill="1" applyAlignment="1">
      <alignment horizontal="left" vertical="center" wrapText="1"/>
    </xf>
    <xf numFmtId="1" fontId="2" fillId="0" borderId="0" xfId="0" applyNumberFormat="1" applyFont="1" applyAlignment="1">
      <alignment horizontal="center"/>
    </xf>
    <xf numFmtId="0" fontId="12" fillId="12" borderId="0" xfId="0" applyFont="1" applyFill="1" applyAlignment="1">
      <alignment horizontal="left" vertical="center" wrapText="1"/>
    </xf>
    <xf numFmtId="170" fontId="15" fillId="16" borderId="0" xfId="0" applyNumberFormat="1" applyFont="1" applyFill="1" applyAlignment="1">
      <alignment horizontal="right"/>
    </xf>
    <xf numFmtId="175" fontId="15" fillId="16" borderId="0" xfId="0" applyNumberFormat="1" applyFont="1" applyFill="1" applyAlignment="1">
      <alignment horizontal="right"/>
    </xf>
    <xf numFmtId="2" fontId="15" fillId="12" borderId="0" xfId="0" applyNumberFormat="1" applyFont="1" applyFill="1" applyAlignment="1">
      <alignment horizontal="right"/>
    </xf>
    <xf numFmtId="0" fontId="26" fillId="23" borderId="0" xfId="0" applyFont="1" applyFill="1" applyAlignment="1">
      <alignment horizontal="left" wrapText="1"/>
    </xf>
    <xf numFmtId="0" fontId="27" fillId="2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wrapText="1"/>
    </xf>
    <xf numFmtId="164" fontId="9" fillId="6" borderId="0" xfId="0" applyNumberFormat="1" applyFont="1" applyFill="1" applyAlignment="1">
      <alignment horizontal="right"/>
    </xf>
    <xf numFmtId="1" fontId="9" fillId="6" borderId="0" xfId="0" applyNumberFormat="1" applyFont="1" applyFill="1" applyAlignment="1">
      <alignment horizontal="right"/>
    </xf>
    <xf numFmtId="176" fontId="30" fillId="16" borderId="0" xfId="0" applyNumberFormat="1" applyFont="1" applyFill="1" applyAlignment="1">
      <alignment horizontal="right"/>
    </xf>
    <xf numFmtId="165" fontId="9" fillId="6" borderId="0" xfId="0" applyNumberFormat="1" applyFont="1" applyFill="1" applyAlignment="1">
      <alignment horizontal="right"/>
    </xf>
    <xf numFmtId="0" fontId="14" fillId="6" borderId="0" xfId="0" applyFont="1" applyFill="1" applyAlignment="1">
      <alignment horizontal="left" wrapText="1"/>
    </xf>
    <xf numFmtId="0" fontId="6" fillId="24" borderId="0" xfId="0" applyFont="1" applyFill="1" applyAlignment="1">
      <alignment horizontal="left" wrapText="1"/>
    </xf>
    <xf numFmtId="164" fontId="30" fillId="16" borderId="0" xfId="0" applyNumberFormat="1" applyFont="1" applyFill="1" applyAlignment="1">
      <alignment horizontal="right"/>
    </xf>
    <xf numFmtId="173" fontId="30" fillId="16" borderId="0" xfId="0" applyNumberFormat="1" applyFont="1" applyFill="1" applyAlignment="1">
      <alignment horizontal="right"/>
    </xf>
    <xf numFmtId="0" fontId="2" fillId="17" borderId="0" xfId="0" applyFont="1" applyFill="1" applyAlignment="1">
      <alignment horizontal="left" wrapText="1"/>
    </xf>
    <xf numFmtId="164" fontId="20" fillId="17" borderId="0" xfId="0" applyNumberFormat="1" applyFont="1" applyFill="1" applyAlignment="1">
      <alignment horizontal="right"/>
    </xf>
    <xf numFmtId="0" fontId="14" fillId="17" borderId="0" xfId="0" applyFont="1" applyFill="1" applyAlignment="1">
      <alignment horizontal="left" wrapText="1"/>
    </xf>
    <xf numFmtId="0" fontId="2" fillId="26" borderId="0" xfId="0" applyFont="1" applyFill="1" applyAlignment="1">
      <alignment horizontal="left" wrapText="1"/>
    </xf>
    <xf numFmtId="167" fontId="20" fillId="26" borderId="0" xfId="0" applyNumberFormat="1" applyFont="1" applyFill="1" applyAlignment="1">
      <alignment horizontal="right"/>
    </xf>
    <xf numFmtId="164" fontId="19" fillId="26" borderId="0" xfId="0" applyNumberFormat="1" applyFont="1" applyFill="1" applyAlignment="1">
      <alignment horizontal="right"/>
    </xf>
    <xf numFmtId="167" fontId="19" fillId="26" borderId="0" xfId="0" applyNumberFormat="1" applyFont="1" applyFill="1" applyAlignment="1">
      <alignment horizontal="right"/>
    </xf>
    <xf numFmtId="1" fontId="19" fillId="26" borderId="0" xfId="0" applyNumberFormat="1" applyFont="1" applyFill="1" applyAlignment="1">
      <alignment horizontal="right"/>
    </xf>
    <xf numFmtId="0" fontId="31" fillId="26" borderId="0" xfId="0" applyFont="1" applyFill="1" applyAlignment="1">
      <alignment horizontal="left" wrapText="1"/>
    </xf>
    <xf numFmtId="165" fontId="19" fillId="26" borderId="0" xfId="0" applyNumberFormat="1" applyFont="1" applyFill="1" applyAlignment="1">
      <alignment horizontal="right"/>
    </xf>
    <xf numFmtId="0" fontId="20" fillId="17" borderId="0" xfId="0" applyFont="1" applyFill="1" applyAlignment="1">
      <alignment horizontal="left" wrapText="1"/>
    </xf>
    <xf numFmtId="49" fontId="19" fillId="17" borderId="0" xfId="0" applyNumberFormat="1" applyFont="1" applyFill="1" applyAlignment="1">
      <alignment horizontal="center"/>
    </xf>
    <xf numFmtId="164" fontId="19" fillId="17" borderId="0" xfId="0" applyNumberFormat="1" applyFont="1" applyFill="1" applyAlignment="1">
      <alignment horizontal="right"/>
    </xf>
    <xf numFmtId="0" fontId="32" fillId="27" borderId="0" xfId="0" applyFont="1" applyFill="1" applyAlignment="1">
      <alignment horizontal="left" vertical="center" wrapText="1"/>
    </xf>
    <xf numFmtId="10" fontId="30" fillId="16" borderId="0" xfId="0" applyNumberFormat="1" applyFont="1" applyFill="1" applyAlignment="1">
      <alignment horizontal="right"/>
    </xf>
    <xf numFmtId="10" fontId="20" fillId="17" borderId="0" xfId="0" applyNumberFormat="1" applyFont="1" applyFill="1" applyAlignment="1">
      <alignment horizontal="right"/>
    </xf>
    <xf numFmtId="0" fontId="14" fillId="26" borderId="0" xfId="0" applyFont="1" applyFill="1" applyAlignment="1">
      <alignment horizontal="left" wrapText="1"/>
    </xf>
    <xf numFmtId="0" fontId="34" fillId="28" borderId="0" xfId="0" applyFont="1" applyFill="1" applyAlignment="1">
      <alignment horizontal="left" vertical="center" wrapText="1"/>
    </xf>
    <xf numFmtId="2" fontId="30" fillId="16" borderId="0" xfId="0" applyNumberFormat="1" applyFont="1" applyFill="1" applyAlignment="1">
      <alignment horizontal="right"/>
    </xf>
    <xf numFmtId="0" fontId="19" fillId="17" borderId="0" xfId="0" applyFont="1" applyFill="1" applyAlignment="1">
      <alignment horizontal="center"/>
    </xf>
    <xf numFmtId="164" fontId="18" fillId="17" borderId="0" xfId="0" applyNumberFormat="1" applyFont="1" applyFill="1" applyAlignment="1">
      <alignment horizontal="right"/>
    </xf>
    <xf numFmtId="0" fontId="36" fillId="29" borderId="0" xfId="0" applyFont="1" applyFill="1" applyAlignment="1">
      <alignment horizontal="left" vertical="center" wrapText="1"/>
    </xf>
    <xf numFmtId="0" fontId="31" fillId="0" borderId="0" xfId="0" applyFont="1"/>
    <xf numFmtId="0" fontId="27" fillId="30" borderId="0" xfId="0" applyFont="1" applyFill="1" applyAlignment="1">
      <alignment horizontal="center" wrapText="1"/>
    </xf>
    <xf numFmtId="0" fontId="2" fillId="29" borderId="0" xfId="0" applyFont="1" applyFill="1" applyAlignment="1">
      <alignment horizontal="left" wrapText="1"/>
    </xf>
    <xf numFmtId="168" fontId="19" fillId="29" borderId="0" xfId="0" applyNumberFormat="1" applyFont="1" applyFill="1" applyAlignment="1">
      <alignment horizontal="right"/>
    </xf>
    <xf numFmtId="165" fontId="19" fillId="29" borderId="0" xfId="0" applyNumberFormat="1" applyFont="1" applyFill="1" applyAlignment="1">
      <alignment horizontal="right"/>
    </xf>
    <xf numFmtId="1" fontId="19" fillId="29" borderId="0" xfId="0" applyNumberFormat="1" applyFont="1" applyFill="1" applyAlignment="1">
      <alignment horizontal="right"/>
    </xf>
    <xf numFmtId="0" fontId="31" fillId="18" borderId="0" xfId="0" applyFont="1" applyFill="1" applyAlignment="1">
      <alignment horizontal="left" wrapText="1"/>
    </xf>
    <xf numFmtId="0" fontId="38" fillId="32" borderId="0" xfId="0" applyFont="1" applyFill="1" applyAlignment="1">
      <alignment horizontal="left" wrapText="1"/>
    </xf>
    <xf numFmtId="0" fontId="27" fillId="33" borderId="0" xfId="0" applyFont="1" applyFill="1" applyAlignment="1">
      <alignment horizontal="center"/>
    </xf>
    <xf numFmtId="3" fontId="9" fillId="6" borderId="0" xfId="0" applyNumberFormat="1" applyFont="1" applyFill="1" applyAlignment="1">
      <alignment horizontal="right"/>
    </xf>
    <xf numFmtId="9" fontId="9" fillId="16" borderId="0" xfId="0" applyNumberFormat="1" applyFont="1" applyFill="1" applyAlignment="1">
      <alignment horizontal="right"/>
    </xf>
    <xf numFmtId="167" fontId="30" fillId="16" borderId="0" xfId="0" applyNumberFormat="1" applyFont="1" applyFill="1" applyAlignment="1">
      <alignment horizontal="right"/>
    </xf>
    <xf numFmtId="3" fontId="30" fillId="16" borderId="0" xfId="0" applyNumberFormat="1" applyFont="1" applyFill="1" applyAlignment="1">
      <alignment horizontal="right"/>
    </xf>
    <xf numFmtId="3" fontId="20" fillId="26" borderId="0" xfId="0" applyNumberFormat="1" applyFont="1" applyFill="1" applyAlignment="1">
      <alignment horizontal="right"/>
    </xf>
    <xf numFmtId="0" fontId="39" fillId="17" borderId="0" xfId="0" applyFont="1" applyFill="1" applyAlignment="1">
      <alignment horizontal="left" wrapText="1"/>
    </xf>
    <xf numFmtId="0" fontId="39" fillId="26" borderId="0" xfId="0" applyFont="1" applyFill="1" applyAlignment="1">
      <alignment horizontal="left" wrapText="1"/>
    </xf>
    <xf numFmtId="0" fontId="40" fillId="0" borderId="0" xfId="0" applyFont="1"/>
    <xf numFmtId="0" fontId="41" fillId="34" borderId="0" xfId="0" applyFont="1" applyFill="1"/>
    <xf numFmtId="0" fontId="42" fillId="0" borderId="0" xfId="0" applyFont="1"/>
    <xf numFmtId="0" fontId="43" fillId="0" borderId="0" xfId="0" applyFont="1"/>
    <xf numFmtId="0" fontId="42" fillId="0" borderId="0" xfId="0" applyFont="1" applyAlignment="1">
      <alignment horizontal="center"/>
    </xf>
    <xf numFmtId="0" fontId="45" fillId="0" borderId="0" xfId="0" applyFont="1"/>
    <xf numFmtId="0" fontId="40" fillId="0" borderId="0" xfId="0" applyFont="1" applyAlignment="1">
      <alignment horizontal="center" wrapText="1"/>
    </xf>
    <xf numFmtId="0" fontId="43" fillId="36" borderId="0" xfId="0" applyFont="1" applyFill="1"/>
    <xf numFmtId="0" fontId="45" fillId="36" borderId="0" xfId="0" applyFont="1" applyFill="1"/>
    <xf numFmtId="0" fontId="43" fillId="36" borderId="0" xfId="0" applyFont="1" applyFill="1" applyAlignment="1">
      <alignment horizontal="center"/>
    </xf>
    <xf numFmtId="0" fontId="40" fillId="36" borderId="0" xfId="0" applyFont="1" applyFill="1"/>
    <xf numFmtId="0" fontId="43" fillId="38" borderId="0" xfId="0" applyFont="1" applyFill="1"/>
    <xf numFmtId="0" fontId="45" fillId="38" borderId="0" xfId="0" applyFont="1" applyFill="1"/>
    <xf numFmtId="0" fontId="43" fillId="38" borderId="0" xfId="0" applyFont="1" applyFill="1" applyAlignment="1">
      <alignment horizontal="center"/>
    </xf>
    <xf numFmtId="0" fontId="40" fillId="38" borderId="0" xfId="0" applyFont="1" applyFill="1"/>
    <xf numFmtId="0" fontId="43" fillId="40" borderId="0" xfId="0" applyFont="1" applyFill="1"/>
    <xf numFmtId="0" fontId="45" fillId="40" borderId="0" xfId="0" applyFont="1" applyFill="1"/>
    <xf numFmtId="0" fontId="43" fillId="40" borderId="0" xfId="0" applyFont="1" applyFill="1" applyAlignment="1">
      <alignment horizontal="center"/>
    </xf>
    <xf numFmtId="0" fontId="43" fillId="42" borderId="0" xfId="0" applyFont="1" applyFill="1"/>
    <xf numFmtId="0" fontId="45" fillId="42" borderId="0" xfId="0" applyFont="1" applyFill="1"/>
    <xf numFmtId="0" fontId="43" fillId="42" borderId="0" xfId="0" applyFont="1" applyFill="1" applyAlignment="1">
      <alignment horizontal="center"/>
    </xf>
    <xf numFmtId="0" fontId="43" fillId="44" borderId="0" xfId="0" applyFont="1" applyFill="1"/>
    <xf numFmtId="0" fontId="43" fillId="44" borderId="0" xfId="0" applyFont="1" applyFill="1" applyAlignment="1">
      <alignment horizontal="center"/>
    </xf>
    <xf numFmtId="0" fontId="40" fillId="40" borderId="0" xfId="0" applyFont="1" applyFill="1"/>
    <xf numFmtId="0" fontId="40" fillId="42" borderId="0" xfId="0" applyFont="1" applyFill="1"/>
    <xf numFmtId="0" fontId="43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6" fillId="40" borderId="0" xfId="0" applyFont="1" applyFill="1"/>
    <xf numFmtId="0" fontId="47" fillId="40" borderId="0" xfId="0" applyFont="1" applyFill="1"/>
    <xf numFmtId="0" fontId="46" fillId="36" borderId="0" xfId="0" applyFont="1" applyFill="1"/>
    <xf numFmtId="0" fontId="47" fillId="36" borderId="0" xfId="0" applyFont="1" applyFill="1"/>
    <xf numFmtId="0" fontId="46" fillId="42" borderId="0" xfId="0" applyFont="1" applyFill="1"/>
    <xf numFmtId="0" fontId="47" fillId="42" borderId="0" xfId="0" applyFont="1" applyFill="1"/>
    <xf numFmtId="0" fontId="46" fillId="38" borderId="0" xfId="0" applyFont="1" applyFill="1"/>
    <xf numFmtId="0" fontId="47" fillId="38" borderId="0" xfId="0" applyFont="1" applyFill="1"/>
    <xf numFmtId="0" fontId="40" fillId="45" borderId="0" xfId="0" applyFont="1" applyFill="1"/>
    <xf numFmtId="0" fontId="46" fillId="45" borderId="0" xfId="0" applyFont="1" applyFill="1"/>
    <xf numFmtId="0" fontId="47" fillId="45" borderId="0" xfId="0" applyFont="1" applyFill="1"/>
    <xf numFmtId="0" fontId="43" fillId="45" borderId="0" xfId="0" applyFont="1" applyFill="1" applyAlignment="1">
      <alignment horizontal="center"/>
    </xf>
    <xf numFmtId="0" fontId="43" fillId="45" borderId="0" xfId="0" applyFont="1" applyFill="1"/>
    <xf numFmtId="0" fontId="52" fillId="0" borderId="0" xfId="0" applyFont="1"/>
    <xf numFmtId="0" fontId="50" fillId="7" borderId="0" xfId="0" applyFont="1" applyFill="1" applyAlignment="1">
      <alignment horizontal="left" vertical="center" wrapText="1"/>
    </xf>
    <xf numFmtId="0" fontId="51" fillId="0" borderId="0" xfId="0" applyFont="1"/>
    <xf numFmtId="0" fontId="47" fillId="0" borderId="0" xfId="0" applyFont="1"/>
    <xf numFmtId="0" fontId="51" fillId="0" borderId="0" xfId="0" applyFont="1" applyAlignment="1">
      <alignment horizontal="center"/>
    </xf>
    <xf numFmtId="0" fontId="51" fillId="14" borderId="0" xfId="0" applyFont="1" applyFill="1" applyAlignment="1">
      <alignment horizontal="left" wrapText="1"/>
    </xf>
    <xf numFmtId="0" fontId="47" fillId="0" borderId="0" xfId="0" applyFont="1" applyAlignment="1">
      <alignment horizontal="left" wrapText="1"/>
    </xf>
    <xf numFmtId="164" fontId="53" fillId="14" borderId="0" xfId="0" applyNumberFormat="1" applyFont="1" applyFill="1" applyAlignment="1">
      <alignment horizontal="center"/>
    </xf>
    <xf numFmtId="0" fontId="50" fillId="36" borderId="0" xfId="0" applyFont="1" applyFill="1"/>
    <xf numFmtId="164" fontId="42" fillId="5" borderId="0" xfId="0" applyNumberFormat="1" applyFont="1" applyFill="1" applyAlignment="1">
      <alignment horizontal="center"/>
    </xf>
    <xf numFmtId="164" fontId="43" fillId="36" borderId="0" xfId="0" applyNumberFormat="1" applyFont="1" applyFill="1" applyAlignment="1">
      <alignment horizontal="center"/>
    </xf>
    <xf numFmtId="0" fontId="40" fillId="45" borderId="0" xfId="0" applyFont="1" applyFill="1" applyAlignment="1">
      <alignment horizontal="center"/>
    </xf>
    <xf numFmtId="0" fontId="53" fillId="36" borderId="0" xfId="0" applyFont="1" applyFill="1" applyAlignment="1">
      <alignment horizontal="center"/>
    </xf>
    <xf numFmtId="0" fontId="40" fillId="39" borderId="0" xfId="0" applyFont="1" applyFill="1"/>
    <xf numFmtId="0" fontId="41" fillId="47" borderId="0" xfId="0" applyFont="1" applyFill="1"/>
    <xf numFmtId="0" fontId="53" fillId="38" borderId="0" xfId="0" applyFont="1" applyFill="1" applyAlignment="1">
      <alignment horizontal="center"/>
    </xf>
    <xf numFmtId="0" fontId="40" fillId="41" borderId="0" xfId="0" applyFont="1" applyFill="1"/>
    <xf numFmtId="0" fontId="40" fillId="37" borderId="0" xfId="0" applyFont="1" applyFill="1"/>
    <xf numFmtId="0" fontId="40" fillId="36" borderId="0" xfId="0" applyFont="1" applyFill="1" applyAlignment="1">
      <alignment horizontal="center"/>
    </xf>
    <xf numFmtId="0" fontId="54" fillId="38" borderId="0" xfId="0" applyFont="1" applyFill="1"/>
    <xf numFmtId="0" fontId="52" fillId="44" borderId="0" xfId="0" applyFont="1" applyFill="1" applyAlignment="1">
      <alignment horizontal="center"/>
    </xf>
    <xf numFmtId="0" fontId="43" fillId="39" borderId="0" xfId="0" applyFont="1" applyFill="1"/>
    <xf numFmtId="0" fontId="40" fillId="38" borderId="0" xfId="0" applyFont="1" applyFill="1" applyAlignment="1">
      <alignment horizontal="center"/>
    </xf>
    <xf numFmtId="0" fontId="40" fillId="40" borderId="0" xfId="0" applyFont="1" applyFill="1" applyAlignment="1">
      <alignment horizontal="center"/>
    </xf>
    <xf numFmtId="0" fontId="43" fillId="43" borderId="0" xfId="0" applyFont="1" applyFill="1"/>
    <xf numFmtId="0" fontId="54" fillId="44" borderId="0" xfId="0" applyFont="1" applyFill="1"/>
    <xf numFmtId="0" fontId="47" fillId="44" borderId="0" xfId="0" applyFont="1" applyFill="1"/>
    <xf numFmtId="0" fontId="54" fillId="44" borderId="0" xfId="0" applyFont="1" applyFill="1" applyAlignment="1">
      <alignment horizontal="center"/>
    </xf>
    <xf numFmtId="0" fontId="40" fillId="44" borderId="0" xfId="0" applyFont="1" applyFill="1"/>
    <xf numFmtId="0" fontId="40" fillId="44" borderId="0" xfId="0" applyFont="1" applyFill="1" applyAlignment="1">
      <alignment horizontal="center"/>
    </xf>
    <xf numFmtId="0" fontId="55" fillId="44" borderId="0" xfId="0" applyFont="1" applyFill="1"/>
    <xf numFmtId="164" fontId="53" fillId="9" borderId="0" xfId="0" applyNumberFormat="1" applyFont="1" applyFill="1" applyAlignment="1">
      <alignment horizontal="center"/>
    </xf>
    <xf numFmtId="0" fontId="54" fillId="0" borderId="0" xfId="0" applyFont="1"/>
    <xf numFmtId="0" fontId="52" fillId="0" borderId="0" xfId="0" applyFont="1" applyAlignment="1">
      <alignment horizontal="center"/>
    </xf>
    <xf numFmtId="0" fontId="43" fillId="14" borderId="0" xfId="0" applyFont="1" applyFill="1" applyAlignment="1">
      <alignment horizontal="left" wrapText="1"/>
    </xf>
    <xf numFmtId="164" fontId="53" fillId="38" borderId="0" xfId="0" applyNumberFormat="1" applyFont="1" applyFill="1" applyAlignment="1">
      <alignment horizontal="center"/>
    </xf>
    <xf numFmtId="0" fontId="45" fillId="15" borderId="0" xfId="0" applyFont="1" applyFill="1" applyAlignment="1">
      <alignment horizontal="left" wrapText="1"/>
    </xf>
    <xf numFmtId="0" fontId="45" fillId="0" borderId="0" xfId="0" applyFont="1" applyAlignment="1">
      <alignment horizontal="center"/>
    </xf>
    <xf numFmtId="0" fontId="40" fillId="15" borderId="0" xfId="0" applyFont="1" applyFill="1" applyAlignment="1">
      <alignment horizontal="left" wrapText="1"/>
    </xf>
    <xf numFmtId="164" fontId="40" fillId="38" borderId="0" xfId="0" applyNumberFormat="1" applyFont="1" applyFill="1" applyAlignment="1">
      <alignment horizontal="center"/>
    </xf>
    <xf numFmtId="0" fontId="53" fillId="45" borderId="0" xfId="0" applyFont="1" applyFill="1" applyAlignment="1">
      <alignment horizontal="center"/>
    </xf>
    <xf numFmtId="164" fontId="42" fillId="7" borderId="0" xfId="0" applyNumberFormat="1" applyFont="1" applyFill="1" applyAlignment="1">
      <alignment horizontal="center"/>
    </xf>
    <xf numFmtId="0" fontId="47" fillId="41" borderId="0" xfId="0" applyFont="1" applyFill="1"/>
    <xf numFmtId="0" fontId="53" fillId="40" borderId="0" xfId="0" applyFont="1" applyFill="1" applyAlignment="1">
      <alignment horizontal="center"/>
    </xf>
    <xf numFmtId="0" fontId="53" fillId="44" borderId="0" xfId="0" applyFont="1" applyFill="1" applyAlignment="1">
      <alignment horizontal="center"/>
    </xf>
    <xf numFmtId="0" fontId="57" fillId="50" borderId="0" xfId="0" applyFont="1" applyFill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0" fillId="51" borderId="0" xfId="0" applyFont="1" applyFill="1"/>
    <xf numFmtId="0" fontId="61" fillId="50" borderId="0" xfId="0" applyFont="1" applyFill="1"/>
    <xf numFmtId="0" fontId="61" fillId="51" borderId="0" xfId="0" applyFont="1" applyFill="1"/>
    <xf numFmtId="0" fontId="61" fillId="52" borderId="0" xfId="0" applyFont="1" applyFill="1"/>
    <xf numFmtId="0" fontId="6" fillId="4" borderId="0" xfId="0" applyFont="1" applyFill="1" applyAlignment="1">
      <alignment horizontal="left" vertical="center"/>
    </xf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41" fillId="34" borderId="0" xfId="0" applyFont="1" applyFill="1"/>
    <xf numFmtId="0" fontId="8" fillId="0" borderId="0" xfId="0" applyFont="1"/>
    <xf numFmtId="0" fontId="2" fillId="5" borderId="0" xfId="0" applyFont="1" applyFill="1" applyAlignment="1">
      <alignment horizontal="left" vertical="center" wrapText="1"/>
    </xf>
    <xf numFmtId="0" fontId="48" fillId="0" borderId="0" xfId="0" applyFont="1"/>
    <xf numFmtId="0" fontId="43" fillId="38" borderId="0" xfId="0" applyFont="1" applyFill="1"/>
    <xf numFmtId="0" fontId="43" fillId="36" borderId="0" xfId="0" applyFont="1" applyFill="1"/>
    <xf numFmtId="0" fontId="43" fillId="42" borderId="0" xfId="0" applyFont="1" applyFill="1"/>
    <xf numFmtId="0" fontId="44" fillId="34" borderId="0" xfId="0" applyFont="1" applyFill="1"/>
    <xf numFmtId="0" fontId="43" fillId="0" borderId="0" xfId="0" applyFont="1"/>
    <xf numFmtId="0" fontId="43" fillId="45" borderId="0" xfId="0" applyFont="1" applyFill="1"/>
    <xf numFmtId="0" fontId="43" fillId="40" borderId="0" xfId="0" applyFont="1" applyFill="1"/>
    <xf numFmtId="0" fontId="45" fillId="0" borderId="0" xfId="0" applyFont="1"/>
    <xf numFmtId="0" fontId="10" fillId="2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1" fillId="41" borderId="0" xfId="0" applyFont="1" applyFill="1"/>
    <xf numFmtId="0" fontId="41" fillId="35" borderId="0" xfId="0" applyFont="1" applyFill="1"/>
    <xf numFmtId="0" fontId="41" fillId="37" borderId="0" xfId="0" applyFont="1" applyFill="1"/>
    <xf numFmtId="0" fontId="41" fillId="39" borderId="0" xfId="0" applyFont="1" applyFill="1"/>
    <xf numFmtId="0" fontId="41" fillId="43" borderId="0" xfId="0" applyFont="1" applyFill="1"/>
    <xf numFmtId="0" fontId="41" fillId="47" borderId="0" xfId="0" applyFont="1" applyFill="1"/>
    <xf numFmtId="0" fontId="12" fillId="8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left" vertical="center" wrapText="1"/>
    </xf>
    <xf numFmtId="0" fontId="49" fillId="46" borderId="0" xfId="0" applyFont="1" applyFill="1" applyAlignment="1">
      <alignment horizontal="left" vertical="center" wrapText="1"/>
    </xf>
    <xf numFmtId="0" fontId="6" fillId="22" borderId="0" xfId="0" applyFont="1" applyFill="1" applyAlignment="1">
      <alignment horizontal="left" vertical="center"/>
    </xf>
    <xf numFmtId="0" fontId="41" fillId="48" borderId="0" xfId="0" applyFont="1" applyFill="1"/>
    <xf numFmtId="0" fontId="35" fillId="28" borderId="0" xfId="0" applyFont="1" applyFill="1" applyAlignment="1">
      <alignment horizontal="left" vertical="center" wrapText="1"/>
    </xf>
    <xf numFmtId="0" fontId="29" fillId="25" borderId="0" xfId="0" applyFont="1" applyFill="1" applyAlignment="1">
      <alignment horizontal="left" vertical="center" wrapText="1"/>
    </xf>
    <xf numFmtId="0" fontId="33" fillId="27" borderId="0" xfId="0" applyFont="1" applyFill="1" applyAlignment="1">
      <alignment horizontal="left" vertical="center" wrapText="1"/>
    </xf>
    <xf numFmtId="0" fontId="56" fillId="49" borderId="0" xfId="0" applyFont="1" applyFill="1"/>
    <xf numFmtId="0" fontId="28" fillId="25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41" fillId="49" borderId="0" xfId="0" applyFont="1" applyFill="1"/>
    <xf numFmtId="0" fontId="37" fillId="31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0F0F0"/>
      <rgbColor rgb="FF0000FF"/>
      <rgbColor rgb="FFFFF2CC"/>
      <rgbColor rgb="FFF5F5F5"/>
      <rgbColor rgb="FFE8F4FD"/>
      <rgbColor rgb="FF8B0000"/>
      <rgbColor rgb="FF00650B"/>
      <rgbColor rgb="FF0E0643"/>
      <rgbColor rgb="FFB8860B"/>
      <rgbColor rgb="FFC00000"/>
      <rgbColor rgb="FF00AE1B"/>
      <rgbColor rgb="FFCCE5FF"/>
      <rgbColor rgb="FF808080"/>
      <rgbColor rgb="FFDBEAFE"/>
      <rgbColor rgb="FF7030A0"/>
      <rgbColor rgb="FFFFF9C4"/>
      <rgbColor rgb="FFE0FFFF"/>
      <rgbColor rgb="FF293B57"/>
      <rgbColor rgb="FFFFE0E0"/>
      <rgbColor rgb="FF2E75B6"/>
      <rgbColor rgb="FFD9E2F3"/>
      <rgbColor rgb="FF1A1A2F"/>
      <rgbColor rgb="FFFFF9E6"/>
      <rgbColor rgb="FFFFFBE0"/>
      <rgbColor rgb="FFF0FFF0"/>
      <rgbColor rgb="FFFFF9E0"/>
      <rgbColor rgb="FF990000"/>
      <rgbColor rgb="FF2C3E50"/>
      <rgbColor rgb="FFFFFDE7"/>
      <rgbColor rgb="FF00B0F0"/>
      <rgbColor rgb="FFE0EEFF"/>
      <rgbColor rgb="FFE8F4E8"/>
      <rgbColor rgb="FFFFFF99"/>
      <rgbColor rgb="FFADD8FF"/>
      <rgbColor rgb="FFFFAAAA"/>
      <rgbColor rgb="FFEEE0FF"/>
      <rgbColor rgb="FFFFCCCC"/>
      <rgbColor rgb="FF4472C4"/>
      <rgbColor rgb="FF99FFFF"/>
      <rgbColor rgb="FF9DFC9D"/>
      <rgbColor rgb="FFFFC000"/>
      <rgbColor rgb="FFFFF0E8"/>
      <rgbColor rgb="FFED7D31"/>
      <rgbColor rgb="FF323E4D"/>
      <rgbColor rgb="FFA5A5A5"/>
      <rgbColor rgb="FF003399"/>
      <rgbColor rgb="FF70AD47"/>
      <rgbColor rgb="FF1A2F2F"/>
      <rgbColor rgb="FF1A2F1A"/>
      <rgbColor rgb="FF6D541F"/>
      <rgbColor rgb="FFCC0000"/>
      <rgbColor rgb="FF1F3864"/>
      <rgbColor rgb="FF2F2F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B81"/>
  <sheetViews>
    <sheetView tabSelected="1" zoomScaleNormal="100" workbookViewId="0">
      <selection activeCell="B8" sqref="B8"/>
    </sheetView>
  </sheetViews>
  <sheetFormatPr defaultColWidth="8.6640625" defaultRowHeight="14.4" x14ac:dyDescent="0.3"/>
  <cols>
    <col min="1" max="1" width="30" customWidth="1"/>
    <col min="2" max="2" width="90" customWidth="1"/>
  </cols>
  <sheetData>
    <row r="1" spans="1:2" ht="19.5" customHeight="1" x14ac:dyDescent="0.3">
      <c r="A1" s="1" t="s">
        <v>0</v>
      </c>
      <c r="B1" s="2" t="s">
        <v>1</v>
      </c>
    </row>
    <row r="2" spans="1:2" ht="15" customHeight="1" x14ac:dyDescent="0.3">
      <c r="A2" s="3"/>
      <c r="B2" s="4"/>
    </row>
    <row r="3" spans="1:2" ht="30" customHeight="1" x14ac:dyDescent="0.3">
      <c r="A3" s="5" t="s">
        <v>2</v>
      </c>
      <c r="B3" s="4" t="s">
        <v>3</v>
      </c>
    </row>
    <row r="4" spans="1:2" ht="15" customHeight="1" x14ac:dyDescent="0.3">
      <c r="A4" s="3"/>
      <c r="B4" s="4"/>
    </row>
    <row r="5" spans="1:2" ht="30" customHeight="1" x14ac:dyDescent="0.3">
      <c r="A5" s="5" t="s">
        <v>4</v>
      </c>
      <c r="B5" s="4" t="s">
        <v>5</v>
      </c>
    </row>
    <row r="6" spans="1:2" ht="15" customHeight="1" x14ac:dyDescent="0.3">
      <c r="A6" s="3"/>
      <c r="B6" s="4"/>
    </row>
    <row r="7" spans="1:2" ht="30" customHeight="1" x14ac:dyDescent="0.3">
      <c r="A7" s="5" t="s">
        <v>6</v>
      </c>
      <c r="B7" s="4" t="s">
        <v>7</v>
      </c>
    </row>
    <row r="8" spans="1:2" ht="15" customHeight="1" x14ac:dyDescent="0.3">
      <c r="A8" s="3"/>
      <c r="B8" s="4"/>
    </row>
    <row r="9" spans="1:2" ht="30" customHeight="1" x14ac:dyDescent="0.3">
      <c r="A9" s="5" t="s">
        <v>8</v>
      </c>
      <c r="B9" s="4" t="s">
        <v>9</v>
      </c>
    </row>
    <row r="10" spans="1:2" ht="15" customHeight="1" x14ac:dyDescent="0.3">
      <c r="A10" s="3"/>
      <c r="B10" s="4"/>
    </row>
    <row r="11" spans="1:2" ht="30" customHeight="1" x14ac:dyDescent="0.3">
      <c r="A11" s="5" t="s">
        <v>10</v>
      </c>
      <c r="B11" s="4" t="s">
        <v>11</v>
      </c>
    </row>
    <row r="12" spans="1:2" ht="15" customHeight="1" x14ac:dyDescent="0.3">
      <c r="A12" s="3"/>
      <c r="B12" s="4"/>
    </row>
    <row r="13" spans="1:2" ht="30" customHeight="1" x14ac:dyDescent="0.3">
      <c r="A13" s="5" t="s">
        <v>12</v>
      </c>
      <c r="B13" s="4" t="s">
        <v>13</v>
      </c>
    </row>
    <row r="14" spans="1:2" ht="15" customHeight="1" x14ac:dyDescent="0.3">
      <c r="A14" s="3" t="s">
        <v>14</v>
      </c>
      <c r="B14" s="4" t="s">
        <v>15</v>
      </c>
    </row>
    <row r="15" spans="1:2" ht="15" customHeight="1" x14ac:dyDescent="0.3">
      <c r="A15" s="3" t="s">
        <v>16</v>
      </c>
      <c r="B15" s="4" t="s">
        <v>17</v>
      </c>
    </row>
    <row r="16" spans="1:2" ht="15" customHeight="1" x14ac:dyDescent="0.3">
      <c r="A16" s="3" t="s">
        <v>18</v>
      </c>
      <c r="B16" s="4" t="s">
        <v>19</v>
      </c>
    </row>
    <row r="17" spans="1:2" ht="15" customHeight="1" x14ac:dyDescent="0.3">
      <c r="A17" s="3" t="s">
        <v>20</v>
      </c>
      <c r="B17" s="4" t="s">
        <v>21</v>
      </c>
    </row>
    <row r="18" spans="1:2" ht="30" customHeight="1" x14ac:dyDescent="0.3">
      <c r="A18" s="3" t="s">
        <v>22</v>
      </c>
      <c r="B18" s="4" t="s">
        <v>23</v>
      </c>
    </row>
    <row r="19" spans="1:2" ht="15" customHeight="1" x14ac:dyDescent="0.3">
      <c r="A19" s="3" t="s">
        <v>24</v>
      </c>
      <c r="B19" s="4" t="s">
        <v>25</v>
      </c>
    </row>
    <row r="20" spans="1:2" ht="15" customHeight="1" x14ac:dyDescent="0.3">
      <c r="A20" s="3" t="s">
        <v>26</v>
      </c>
      <c r="B20" s="4" t="s">
        <v>27</v>
      </c>
    </row>
    <row r="21" spans="1:2" ht="15" customHeight="1" x14ac:dyDescent="0.3">
      <c r="A21" s="3" t="s">
        <v>28</v>
      </c>
      <c r="B21" s="4" t="s">
        <v>29</v>
      </c>
    </row>
    <row r="22" spans="1:2" ht="15" customHeight="1" x14ac:dyDescent="0.3">
      <c r="A22" s="3" t="s">
        <v>30</v>
      </c>
      <c r="B22" s="4" t="s">
        <v>31</v>
      </c>
    </row>
    <row r="23" spans="1:2" ht="15" customHeight="1" x14ac:dyDescent="0.3">
      <c r="A23" s="3"/>
      <c r="B23" s="4"/>
    </row>
    <row r="24" spans="1:2" ht="30" customHeight="1" x14ac:dyDescent="0.3">
      <c r="A24" s="5" t="s">
        <v>32</v>
      </c>
      <c r="B24" s="4" t="s">
        <v>33</v>
      </c>
    </row>
    <row r="25" spans="1:2" ht="15" customHeight="1" x14ac:dyDescent="0.3">
      <c r="A25" s="3"/>
      <c r="B25" s="4"/>
    </row>
    <row r="26" spans="1:2" ht="30" customHeight="1" x14ac:dyDescent="0.3">
      <c r="A26" s="5" t="s">
        <v>34</v>
      </c>
      <c r="B26" s="4" t="s">
        <v>35</v>
      </c>
    </row>
    <row r="27" spans="1:2" ht="15" customHeight="1" x14ac:dyDescent="0.3">
      <c r="A27" s="3"/>
      <c r="B27" s="4"/>
    </row>
    <row r="28" spans="1:2" ht="30" customHeight="1" x14ac:dyDescent="0.3">
      <c r="A28" s="5" t="s">
        <v>36</v>
      </c>
      <c r="B28" s="4" t="s">
        <v>37</v>
      </c>
    </row>
    <row r="30" spans="1:2" x14ac:dyDescent="0.3">
      <c r="A30" s="165" t="s">
        <v>38</v>
      </c>
    </row>
    <row r="31" spans="1:2" x14ac:dyDescent="0.3">
      <c r="A31" t="s">
        <v>39</v>
      </c>
    </row>
    <row r="32" spans="1:2" x14ac:dyDescent="0.3">
      <c r="A32" t="s">
        <v>40</v>
      </c>
    </row>
    <row r="33" spans="1:2" x14ac:dyDescent="0.3">
      <c r="A33" t="s">
        <v>41</v>
      </c>
      <c r="B33" t="s">
        <v>42</v>
      </c>
    </row>
    <row r="34" spans="1:2" x14ac:dyDescent="0.3">
      <c r="A34" t="s">
        <v>43</v>
      </c>
      <c r="B34" t="s">
        <v>44</v>
      </c>
    </row>
    <row r="35" spans="1:2" x14ac:dyDescent="0.3">
      <c r="A35" t="s">
        <v>45</v>
      </c>
      <c r="B35" t="s">
        <v>46</v>
      </c>
    </row>
    <row r="36" spans="1:2" x14ac:dyDescent="0.3">
      <c r="A36" t="s">
        <v>47</v>
      </c>
      <c r="B36" t="s">
        <v>48</v>
      </c>
    </row>
    <row r="37" spans="1:2" x14ac:dyDescent="0.3">
      <c r="A37" t="s">
        <v>49</v>
      </c>
      <c r="B37" t="s">
        <v>50</v>
      </c>
    </row>
    <row r="38" spans="1:2" x14ac:dyDescent="0.3">
      <c r="A38" t="s">
        <v>51</v>
      </c>
      <c r="B38" t="s">
        <v>52</v>
      </c>
    </row>
    <row r="40" spans="1:2" x14ac:dyDescent="0.3">
      <c r="A40" t="s">
        <v>53</v>
      </c>
    </row>
    <row r="41" spans="1:2" x14ac:dyDescent="0.3">
      <c r="A41" t="s">
        <v>54</v>
      </c>
      <c r="B41" t="s">
        <v>55</v>
      </c>
    </row>
    <row r="42" spans="1:2" x14ac:dyDescent="0.3">
      <c r="A42" t="s">
        <v>56</v>
      </c>
      <c r="B42" t="s">
        <v>57</v>
      </c>
    </row>
    <row r="43" spans="1:2" x14ac:dyDescent="0.3">
      <c r="A43" t="s">
        <v>58</v>
      </c>
      <c r="B43" t="s">
        <v>59</v>
      </c>
    </row>
    <row r="44" spans="1:2" x14ac:dyDescent="0.3">
      <c r="A44" t="s">
        <v>60</v>
      </c>
      <c r="B44" t="s">
        <v>61</v>
      </c>
    </row>
    <row r="45" spans="1:2" x14ac:dyDescent="0.3">
      <c r="A45" t="s">
        <v>62</v>
      </c>
      <c r="B45" t="s">
        <v>63</v>
      </c>
    </row>
    <row r="46" spans="1:2" x14ac:dyDescent="0.3">
      <c r="A46" t="s">
        <v>64</v>
      </c>
      <c r="B46" t="s">
        <v>65</v>
      </c>
    </row>
    <row r="48" spans="1:2" x14ac:dyDescent="0.3">
      <c r="A48" t="s">
        <v>66</v>
      </c>
    </row>
    <row r="49" spans="1:2" x14ac:dyDescent="0.3">
      <c r="B49" t="s">
        <v>67</v>
      </c>
    </row>
    <row r="51" spans="1:2" x14ac:dyDescent="0.3">
      <c r="A51" s="205" t="s">
        <v>68</v>
      </c>
    </row>
    <row r="52" spans="1:2" x14ac:dyDescent="0.3">
      <c r="A52" s="168" t="s">
        <v>69</v>
      </c>
    </row>
    <row r="53" spans="1:2" x14ac:dyDescent="0.3">
      <c r="A53" s="168" t="s">
        <v>70</v>
      </c>
    </row>
    <row r="54" spans="1:2" x14ac:dyDescent="0.3">
      <c r="A54" s="168" t="s">
        <v>71</v>
      </c>
    </row>
    <row r="55" spans="1:2" x14ac:dyDescent="0.3">
      <c r="A55" s="168" t="s">
        <v>72</v>
      </c>
    </row>
    <row r="57" spans="1:2" x14ac:dyDescent="0.3">
      <c r="A57" s="237" t="s">
        <v>73</v>
      </c>
    </row>
    <row r="58" spans="1:2" x14ac:dyDescent="0.3">
      <c r="A58" s="165" t="s">
        <v>74</v>
      </c>
      <c r="B58" s="208" t="s">
        <v>75</v>
      </c>
    </row>
    <row r="60" spans="1:2" x14ac:dyDescent="0.3">
      <c r="A60" s="165" t="s">
        <v>76</v>
      </c>
      <c r="B60" s="208" t="s">
        <v>77</v>
      </c>
    </row>
    <row r="62" spans="1:2" x14ac:dyDescent="0.3">
      <c r="A62" s="165" t="s">
        <v>78</v>
      </c>
      <c r="B62" s="208" t="s">
        <v>79</v>
      </c>
    </row>
    <row r="64" spans="1:2" x14ac:dyDescent="0.3">
      <c r="A64" s="165" t="s">
        <v>80</v>
      </c>
      <c r="B64" s="208" t="s">
        <v>81</v>
      </c>
    </row>
    <row r="66" spans="1:2" x14ac:dyDescent="0.3">
      <c r="A66" s="165" t="s">
        <v>82</v>
      </c>
      <c r="B66" s="208" t="s">
        <v>83</v>
      </c>
    </row>
    <row r="68" spans="1:2" x14ac:dyDescent="0.3">
      <c r="A68" s="165" t="s">
        <v>84</v>
      </c>
      <c r="B68" s="208" t="s">
        <v>85</v>
      </c>
    </row>
    <row r="70" spans="1:2" x14ac:dyDescent="0.3">
      <c r="A70" s="165" t="s">
        <v>86</v>
      </c>
      <c r="B70" s="208" t="s">
        <v>87</v>
      </c>
    </row>
    <row r="72" spans="1:2" x14ac:dyDescent="0.3">
      <c r="A72" s="165" t="s">
        <v>88</v>
      </c>
      <c r="B72" s="208" t="s">
        <v>89</v>
      </c>
    </row>
    <row r="74" spans="1:2" x14ac:dyDescent="0.3">
      <c r="A74" s="253" t="s">
        <v>90</v>
      </c>
    </row>
    <row r="75" spans="1:2" x14ac:dyDescent="0.3">
      <c r="A75" t="s">
        <v>91</v>
      </c>
      <c r="B75" t="s">
        <v>92</v>
      </c>
    </row>
    <row r="76" spans="1:2" x14ac:dyDescent="0.3">
      <c r="A76" t="s">
        <v>93</v>
      </c>
      <c r="B76" t="s">
        <v>94</v>
      </c>
    </row>
    <row r="77" spans="1:2" x14ac:dyDescent="0.3">
      <c r="A77" t="s">
        <v>95</v>
      </c>
      <c r="B77" t="s">
        <v>96</v>
      </c>
    </row>
    <row r="78" spans="1:2" x14ac:dyDescent="0.3">
      <c r="A78" t="s">
        <v>97</v>
      </c>
      <c r="B78" t="s">
        <v>98</v>
      </c>
    </row>
    <row r="79" spans="1:2" x14ac:dyDescent="0.3">
      <c r="A79" t="s">
        <v>99</v>
      </c>
      <c r="B79" t="s">
        <v>100</v>
      </c>
    </row>
    <row r="80" spans="1:2" x14ac:dyDescent="0.3">
      <c r="A80" t="s">
        <v>101</v>
      </c>
      <c r="B80" t="s">
        <v>102</v>
      </c>
    </row>
    <row r="81" spans="1:2" x14ac:dyDescent="0.3">
      <c r="A81" t="s">
        <v>103</v>
      </c>
      <c r="B81" t="s">
        <v>104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M122"/>
  <sheetViews>
    <sheetView zoomScaleNormal="100" workbookViewId="0"/>
  </sheetViews>
  <sheetFormatPr defaultColWidth="8.6640625" defaultRowHeight="14.4" x14ac:dyDescent="0.3"/>
  <cols>
    <col min="1" max="1" width="32" customWidth="1"/>
    <col min="2" max="2" width="50" customWidth="1"/>
    <col min="3" max="13" width="9" customWidth="1"/>
  </cols>
  <sheetData>
    <row r="1" spans="1:13" ht="19.5" customHeight="1" x14ac:dyDescent="0.3">
      <c r="A1" s="260" t="s">
        <v>105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ht="27.75" customHeight="1" x14ac:dyDescent="0.3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117</v>
      </c>
      <c r="M2" s="7" t="s">
        <v>118</v>
      </c>
    </row>
    <row r="3" spans="1:13" ht="15.75" customHeight="1" x14ac:dyDescent="0.3">
      <c r="A3" s="258" t="s">
        <v>119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</row>
    <row r="4" spans="1:13" ht="13.5" customHeight="1" x14ac:dyDescent="0.3">
      <c r="A4" s="9" t="s">
        <v>120</v>
      </c>
      <c r="B4" s="10" t="s">
        <v>121</v>
      </c>
      <c r="C4" s="11">
        <v>300</v>
      </c>
      <c r="D4" s="11">
        <v>310</v>
      </c>
      <c r="E4" s="11">
        <v>325</v>
      </c>
      <c r="F4" s="11">
        <v>340</v>
      </c>
      <c r="G4" s="11">
        <v>330</v>
      </c>
      <c r="H4" s="11">
        <v>345</v>
      </c>
      <c r="I4" s="11">
        <v>365</v>
      </c>
      <c r="J4" s="11">
        <v>380</v>
      </c>
      <c r="K4" s="11">
        <v>400</v>
      </c>
      <c r="L4" s="11">
        <v>415</v>
      </c>
      <c r="M4" s="11">
        <v>400</v>
      </c>
    </row>
    <row r="5" spans="1:13" ht="13.5" customHeight="1" x14ac:dyDescent="0.3">
      <c r="A5" s="9" t="s">
        <v>122</v>
      </c>
      <c r="B5" s="10" t="s">
        <v>123</v>
      </c>
      <c r="C5" s="11">
        <v>280</v>
      </c>
      <c r="D5" s="11">
        <v>287</v>
      </c>
      <c r="E5" s="11">
        <v>294</v>
      </c>
      <c r="F5" s="11">
        <v>302</v>
      </c>
      <c r="G5" s="11">
        <v>288</v>
      </c>
      <c r="H5" s="11">
        <v>300</v>
      </c>
      <c r="I5" s="11">
        <v>308</v>
      </c>
      <c r="J5" s="11">
        <v>315</v>
      </c>
      <c r="K5" s="11">
        <v>320</v>
      </c>
      <c r="L5" s="11">
        <v>318</v>
      </c>
      <c r="M5" s="11">
        <v>300</v>
      </c>
    </row>
    <row r="6" spans="1:13" ht="13.5" customHeight="1" x14ac:dyDescent="0.3">
      <c r="A6" s="9" t="s">
        <v>124</v>
      </c>
      <c r="B6" s="10" t="s">
        <v>125</v>
      </c>
      <c r="C6" s="11">
        <v>40</v>
      </c>
      <c r="D6" s="11">
        <v>45</v>
      </c>
      <c r="E6" s="11">
        <v>50</v>
      </c>
      <c r="F6" s="11">
        <v>55</v>
      </c>
      <c r="G6" s="11">
        <v>60</v>
      </c>
      <c r="H6" s="11">
        <v>65</v>
      </c>
      <c r="I6" s="11">
        <v>80</v>
      </c>
      <c r="J6" s="11">
        <v>90</v>
      </c>
      <c r="K6" s="11">
        <v>100</v>
      </c>
      <c r="L6" s="11">
        <v>110</v>
      </c>
      <c r="M6" s="11">
        <v>120</v>
      </c>
    </row>
    <row r="7" spans="1:13" ht="13.5" customHeight="1" x14ac:dyDescent="0.3">
      <c r="A7" s="9" t="s">
        <v>126</v>
      </c>
      <c r="B7" s="10" t="s">
        <v>127</v>
      </c>
      <c r="C7" s="11">
        <v>-80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</row>
    <row r="8" spans="1:13" ht="13.5" customHeight="1" x14ac:dyDescent="0.3">
      <c r="A8" s="9" t="s">
        <v>128</v>
      </c>
      <c r="B8" s="10" t="s">
        <v>129</v>
      </c>
      <c r="C8" s="214">
        <v>100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</row>
    <row r="9" spans="1:13" ht="13.5" customHeight="1" x14ac:dyDescent="0.3">
      <c r="A9" s="9" t="s">
        <v>130</v>
      </c>
      <c r="B9" s="10" t="s">
        <v>131</v>
      </c>
      <c r="C9" s="12">
        <v>1.4999999999999999E-2</v>
      </c>
      <c r="D9" s="12">
        <v>1.4999999999999999E-2</v>
      </c>
      <c r="E9" s="12">
        <v>0.01</v>
      </c>
      <c r="F9" s="12">
        <v>5.0000000000000001E-3</v>
      </c>
      <c r="G9" s="12">
        <v>0</v>
      </c>
      <c r="H9" s="12">
        <v>-5.0000000000000001E-3</v>
      </c>
      <c r="I9" s="12">
        <v>-3.0000000000000001E-3</v>
      </c>
      <c r="J9" s="12">
        <v>2E-3</v>
      </c>
      <c r="K9" s="12">
        <v>5.0000000000000001E-3</v>
      </c>
      <c r="L9" s="12">
        <v>3.0000000000000001E-3</v>
      </c>
      <c r="M9" s="12">
        <v>0</v>
      </c>
    </row>
    <row r="11" spans="1:13" ht="15.75" customHeight="1" x14ac:dyDescent="0.3">
      <c r="A11" s="258" t="s">
        <v>132</v>
      </c>
      <c r="B11" s="259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</row>
    <row r="12" spans="1:13" ht="13.5" customHeight="1" x14ac:dyDescent="0.3">
      <c r="A12" s="9" t="s">
        <v>133</v>
      </c>
      <c r="B12" s="10" t="s">
        <v>134</v>
      </c>
      <c r="C12" s="11">
        <v>200</v>
      </c>
      <c r="D12" s="11">
        <v>210</v>
      </c>
      <c r="E12" s="11">
        <v>350</v>
      </c>
      <c r="F12" s="11">
        <v>420</v>
      </c>
      <c r="G12" s="11">
        <v>310</v>
      </c>
      <c r="H12" s="11">
        <v>350</v>
      </c>
      <c r="I12" s="11">
        <v>420</v>
      </c>
      <c r="J12" s="11">
        <v>250</v>
      </c>
      <c r="K12" s="11">
        <v>500</v>
      </c>
      <c r="L12" s="11">
        <v>600</v>
      </c>
      <c r="M12" s="11">
        <v>550</v>
      </c>
    </row>
    <row r="13" spans="1:13" ht="13.5" customHeight="1" x14ac:dyDescent="0.3">
      <c r="A13" s="9" t="s">
        <v>135</v>
      </c>
      <c r="B13" s="10" t="s">
        <v>136</v>
      </c>
      <c r="C13" s="12">
        <v>0.05</v>
      </c>
      <c r="D13" s="12">
        <v>0.05</v>
      </c>
      <c r="E13" s="12">
        <v>0.05</v>
      </c>
      <c r="F13" s="12">
        <v>0.03</v>
      </c>
      <c r="G13" s="12">
        <v>0.02</v>
      </c>
      <c r="H13" s="12">
        <v>0.02</v>
      </c>
      <c r="I13" s="12">
        <v>0.01</v>
      </c>
      <c r="J13" s="12">
        <v>0.02</v>
      </c>
      <c r="K13" s="12">
        <v>0.01</v>
      </c>
      <c r="L13" s="12">
        <v>0.01</v>
      </c>
      <c r="M13" s="12">
        <v>0.01</v>
      </c>
    </row>
    <row r="14" spans="1:13" ht="13.5" customHeight="1" x14ac:dyDescent="0.3">
      <c r="A14" s="9" t="s">
        <v>137</v>
      </c>
      <c r="B14" s="10" t="s">
        <v>138</v>
      </c>
      <c r="C14" s="12">
        <v>0.08</v>
      </c>
      <c r="D14" s="12">
        <v>0.09</v>
      </c>
      <c r="E14" s="12">
        <v>0.1</v>
      </c>
      <c r="F14" s="12">
        <v>0.1</v>
      </c>
      <c r="G14" s="12">
        <v>0.12</v>
      </c>
      <c r="H14" s="12">
        <v>0.13</v>
      </c>
      <c r="I14" s="12">
        <v>0.18</v>
      </c>
      <c r="J14" s="12">
        <v>0.15</v>
      </c>
      <c r="K14" s="12">
        <v>0.15</v>
      </c>
      <c r="L14" s="12">
        <v>0.14000000000000001</v>
      </c>
      <c r="M14" s="12">
        <v>0.12</v>
      </c>
    </row>
    <row r="15" spans="1:13" ht="13.5" customHeight="1" x14ac:dyDescent="0.3">
      <c r="A15" s="9" t="s">
        <v>139</v>
      </c>
      <c r="B15" s="10" t="s">
        <v>140</v>
      </c>
      <c r="C15" s="11">
        <v>8</v>
      </c>
      <c r="D15" s="11">
        <v>10</v>
      </c>
      <c r="E15" s="11">
        <v>15</v>
      </c>
      <c r="F15" s="11">
        <v>18</v>
      </c>
      <c r="G15" s="11">
        <v>15</v>
      </c>
      <c r="H15" s="11">
        <v>15</v>
      </c>
      <c r="I15" s="11">
        <v>14</v>
      </c>
      <c r="J15" s="11">
        <v>14</v>
      </c>
      <c r="K15" s="11">
        <v>14</v>
      </c>
      <c r="L15" s="11">
        <v>12</v>
      </c>
      <c r="M15" s="11">
        <v>12</v>
      </c>
    </row>
    <row r="16" spans="1:13" ht="13.5" customHeight="1" x14ac:dyDescent="0.3">
      <c r="A16" s="9" t="s">
        <v>141</v>
      </c>
      <c r="B16" s="10" t="s">
        <v>142</v>
      </c>
      <c r="C16" s="13">
        <v>0</v>
      </c>
      <c r="D16" s="13">
        <v>0</v>
      </c>
      <c r="E16" s="13">
        <v>1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>
        <v>1</v>
      </c>
      <c r="M16" s="13">
        <v>1</v>
      </c>
    </row>
    <row r="17" spans="1:13" ht="13.5" customHeight="1" x14ac:dyDescent="0.3">
      <c r="A17" s="9" t="s">
        <v>143</v>
      </c>
      <c r="B17" s="10" t="s">
        <v>144</v>
      </c>
      <c r="C17" s="12">
        <v>0</v>
      </c>
      <c r="D17" s="12">
        <v>0</v>
      </c>
      <c r="E17" s="12">
        <v>0.05</v>
      </c>
      <c r="F17" s="12">
        <v>0.05</v>
      </c>
      <c r="G17" s="12">
        <v>0</v>
      </c>
      <c r="H17" s="12">
        <v>0</v>
      </c>
      <c r="I17" s="12">
        <v>0</v>
      </c>
      <c r="J17" s="12">
        <v>0.03</v>
      </c>
      <c r="K17" s="12">
        <v>0.04</v>
      </c>
      <c r="L17" s="12">
        <v>0.05</v>
      </c>
      <c r="M17" s="12">
        <v>0.05</v>
      </c>
    </row>
    <row r="19" spans="1:13" ht="15.75" customHeight="1" x14ac:dyDescent="0.3">
      <c r="A19" s="258" t="s">
        <v>145</v>
      </c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</row>
    <row r="20" spans="1:13" ht="13.5" customHeight="1" x14ac:dyDescent="0.3">
      <c r="A20" s="9" t="s">
        <v>146</v>
      </c>
      <c r="B20" s="10" t="s">
        <v>147</v>
      </c>
      <c r="C20" s="11">
        <v>60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</row>
    <row r="21" spans="1:13" ht="13.5" customHeight="1" x14ac:dyDescent="0.3">
      <c r="A21" s="9" t="s">
        <v>148</v>
      </c>
      <c r="B21" s="10" t="s">
        <v>149</v>
      </c>
      <c r="C21" s="12">
        <v>0.05</v>
      </c>
      <c r="D21" s="12">
        <v>-0.1</v>
      </c>
      <c r="E21" s="12">
        <v>0.05</v>
      </c>
      <c r="F21" s="12">
        <v>0.1</v>
      </c>
      <c r="G21" s="12">
        <v>-0.45</v>
      </c>
      <c r="H21" s="12">
        <v>0.3</v>
      </c>
      <c r="I21" s="12">
        <v>0.2</v>
      </c>
      <c r="J21" s="12">
        <v>0.05</v>
      </c>
      <c r="K21" s="12">
        <v>0.1</v>
      </c>
      <c r="L21" s="12">
        <v>-0.05</v>
      </c>
      <c r="M21" s="12">
        <v>-0.7</v>
      </c>
    </row>
    <row r="22" spans="1:13" ht="13.5" customHeight="1" x14ac:dyDescent="0.3">
      <c r="A22" s="9" t="s">
        <v>150</v>
      </c>
      <c r="B22" s="10" t="s">
        <v>151</v>
      </c>
      <c r="C22" s="11">
        <v>45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</row>
    <row r="23" spans="1:13" ht="13.5" customHeight="1" x14ac:dyDescent="0.3">
      <c r="A23" s="9" t="s">
        <v>152</v>
      </c>
      <c r="B23" s="10" t="s">
        <v>153</v>
      </c>
      <c r="C23" s="12">
        <v>0.03</v>
      </c>
      <c r="D23" s="12">
        <v>0.04</v>
      </c>
      <c r="E23" s="12">
        <v>0.04</v>
      </c>
      <c r="F23" s="12">
        <v>0.03</v>
      </c>
      <c r="G23" s="12">
        <v>-0.06</v>
      </c>
      <c r="H23" s="12">
        <v>0.08</v>
      </c>
      <c r="I23" s="12">
        <v>0.06</v>
      </c>
      <c r="J23" s="12">
        <v>0.05</v>
      </c>
      <c r="K23" s="12">
        <v>0.05</v>
      </c>
      <c r="L23" s="12">
        <v>0.02</v>
      </c>
      <c r="M23" s="12">
        <v>-0.45</v>
      </c>
    </row>
    <row r="24" spans="1:13" ht="13.5" customHeight="1" x14ac:dyDescent="0.3">
      <c r="A24" s="9" t="s">
        <v>154</v>
      </c>
      <c r="B24" s="10" t="s">
        <v>155</v>
      </c>
      <c r="C24" s="11">
        <v>20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</row>
    <row r="25" spans="1:13" ht="13.5" customHeight="1" x14ac:dyDescent="0.3">
      <c r="A25" s="9" t="s">
        <v>156</v>
      </c>
      <c r="B25" s="10" t="s">
        <v>157</v>
      </c>
      <c r="C25" s="12">
        <v>0.02</v>
      </c>
      <c r="D25" s="12">
        <v>0.03</v>
      </c>
      <c r="E25" s="12">
        <v>0.03</v>
      </c>
      <c r="F25" s="12">
        <v>0.02</v>
      </c>
      <c r="G25" s="12">
        <v>-0.04</v>
      </c>
      <c r="H25" s="12">
        <v>0.06</v>
      </c>
      <c r="I25" s="12">
        <v>0.05</v>
      </c>
      <c r="J25" s="12">
        <v>0.04</v>
      </c>
      <c r="K25" s="12">
        <v>0.04</v>
      </c>
      <c r="L25" s="12">
        <v>0.02</v>
      </c>
      <c r="M25" s="12">
        <v>-0.47</v>
      </c>
    </row>
    <row r="26" spans="1:13" ht="15" customHeight="1" x14ac:dyDescent="0.3">
      <c r="A26" s="14" t="s">
        <v>158</v>
      </c>
      <c r="C26" s="15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ht="15.75" customHeight="1" x14ac:dyDescent="0.3">
      <c r="A27" s="262" t="s">
        <v>159</v>
      </c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</row>
    <row r="28" spans="1:13" ht="13.5" customHeight="1" x14ac:dyDescent="0.3">
      <c r="A28" s="14" t="s">
        <v>160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0.6</v>
      </c>
    </row>
    <row r="29" spans="1:13" ht="13.5" customHeight="1" x14ac:dyDescent="0.3">
      <c r="A29" s="14" t="s">
        <v>161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0.8</v>
      </c>
    </row>
    <row r="30" spans="1:13" ht="13.5" customHeight="1" x14ac:dyDescent="0.3">
      <c r="A30" s="8" t="s">
        <v>162</v>
      </c>
    </row>
    <row r="31" spans="1:13" ht="13.5" customHeight="1" x14ac:dyDescent="0.3">
      <c r="A31" s="9" t="s">
        <v>163</v>
      </c>
      <c r="B31" s="10"/>
      <c r="C31" s="11">
        <v>25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</row>
    <row r="32" spans="1:13" ht="13.5" customHeight="1" x14ac:dyDescent="0.3">
      <c r="A32" s="9" t="s">
        <v>164</v>
      </c>
      <c r="B32" s="10"/>
      <c r="C32" s="12">
        <v>0.03</v>
      </c>
      <c r="D32" s="12">
        <v>0.04</v>
      </c>
      <c r="E32" s="12">
        <v>0.04</v>
      </c>
      <c r="F32" s="12">
        <v>-0.05</v>
      </c>
      <c r="G32" s="12">
        <v>0.05</v>
      </c>
      <c r="H32" s="12">
        <v>0.04</v>
      </c>
      <c r="I32" s="12">
        <v>0.04</v>
      </c>
      <c r="J32" s="12">
        <v>0.03</v>
      </c>
      <c r="K32" s="12">
        <v>0.02</v>
      </c>
      <c r="L32" s="12">
        <v>-0.1</v>
      </c>
      <c r="M32" s="12">
        <v>-0.15</v>
      </c>
    </row>
    <row r="33" spans="1:13" ht="21.75" customHeight="1" x14ac:dyDescent="0.3">
      <c r="A33" s="9" t="s">
        <v>165</v>
      </c>
      <c r="B33" s="10" t="s">
        <v>166</v>
      </c>
      <c r="C33" s="12">
        <v>0.05</v>
      </c>
      <c r="D33" s="12">
        <v>0.05</v>
      </c>
      <c r="E33" s="12">
        <v>0.05</v>
      </c>
      <c r="F33" s="12">
        <v>0.05</v>
      </c>
      <c r="G33" s="12">
        <v>0.05</v>
      </c>
      <c r="H33" s="12">
        <v>0.05</v>
      </c>
      <c r="I33" s="12">
        <v>0.05</v>
      </c>
      <c r="J33" s="12">
        <v>0.05</v>
      </c>
      <c r="K33" s="12">
        <v>0.05</v>
      </c>
      <c r="L33" s="12">
        <v>0.05</v>
      </c>
      <c r="M33" s="12">
        <v>0.05</v>
      </c>
    </row>
    <row r="34" spans="1:13" ht="15.75" customHeight="1" x14ac:dyDescent="0.3">
      <c r="A34" s="263" t="s">
        <v>167</v>
      </c>
      <c r="B34" s="259"/>
      <c r="C34" s="259"/>
      <c r="D34" s="259"/>
      <c r="E34" s="259"/>
      <c r="F34" s="259"/>
      <c r="G34" s="259"/>
      <c r="H34" s="259"/>
      <c r="I34" s="259"/>
      <c r="J34" s="259"/>
      <c r="K34" s="259"/>
      <c r="L34" s="259"/>
      <c r="M34" s="259"/>
    </row>
    <row r="35" spans="1:13" ht="13.5" customHeight="1" x14ac:dyDescent="0.3">
      <c r="A35" s="9" t="s">
        <v>168</v>
      </c>
      <c r="B35" s="10" t="s">
        <v>169</v>
      </c>
      <c r="C35" s="17">
        <v>5</v>
      </c>
      <c r="D35" s="17">
        <v>5</v>
      </c>
      <c r="E35" s="17">
        <v>5</v>
      </c>
      <c r="F35" s="17">
        <v>5</v>
      </c>
      <c r="G35" s="17">
        <v>8</v>
      </c>
      <c r="H35" s="17">
        <v>8</v>
      </c>
      <c r="I35" s="17">
        <v>6</v>
      </c>
      <c r="J35" s="17">
        <v>6</v>
      </c>
      <c r="K35" s="17">
        <v>6</v>
      </c>
      <c r="L35" s="17">
        <v>6</v>
      </c>
      <c r="M35" s="17">
        <v>6</v>
      </c>
    </row>
    <row r="36" spans="1:13" ht="13.5" customHeight="1" x14ac:dyDescent="0.3"/>
    <row r="37" spans="1:13" ht="15" customHeight="1" x14ac:dyDescent="0.3">
      <c r="A37" s="8" t="s">
        <v>170</v>
      </c>
    </row>
    <row r="38" spans="1:13" ht="15.75" customHeight="1" x14ac:dyDescent="0.3">
      <c r="A38" s="263" t="s">
        <v>171</v>
      </c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59"/>
      <c r="M38" s="259"/>
    </row>
    <row r="39" spans="1:13" ht="13.5" customHeight="1" x14ac:dyDescent="0.3">
      <c r="A39" s="9" t="s">
        <v>172</v>
      </c>
      <c r="B39" s="10" t="s">
        <v>173</v>
      </c>
      <c r="C39" s="12">
        <v>0.77100000000000002</v>
      </c>
      <c r="D39" s="12">
        <v>0.3</v>
      </c>
      <c r="E39" s="12">
        <v>0.35</v>
      </c>
      <c r="F39" s="12">
        <v>0.4</v>
      </c>
      <c r="G39" s="12">
        <v>0.5</v>
      </c>
      <c r="H39" s="12">
        <v>0.55000000000000004</v>
      </c>
      <c r="I39" s="12">
        <v>0.7</v>
      </c>
      <c r="J39" s="12">
        <v>0.72</v>
      </c>
      <c r="K39" s="12">
        <v>0.75</v>
      </c>
      <c r="L39" s="12">
        <v>0.76</v>
      </c>
      <c r="M39" s="12">
        <v>0.76</v>
      </c>
    </row>
    <row r="40" spans="1:13" ht="13.5" customHeight="1" x14ac:dyDescent="0.3"/>
    <row r="41" spans="1:13" ht="15" customHeight="1" x14ac:dyDescent="0.3">
      <c r="A41" s="8" t="s">
        <v>174</v>
      </c>
      <c r="B41" t="s">
        <v>175</v>
      </c>
      <c r="C41" s="18">
        <v>1.76</v>
      </c>
      <c r="D41" s="18">
        <v>1.3</v>
      </c>
      <c r="E41" s="18">
        <v>1.3</v>
      </c>
      <c r="F41" s="18">
        <v>1.3</v>
      </c>
      <c r="G41" s="18">
        <v>1.3</v>
      </c>
      <c r="H41" s="18">
        <v>1.3</v>
      </c>
      <c r="I41" s="18">
        <v>1.3</v>
      </c>
      <c r="J41" s="18">
        <v>1.3</v>
      </c>
      <c r="K41" s="18">
        <v>1.3</v>
      </c>
      <c r="L41" s="18">
        <v>1.3</v>
      </c>
      <c r="M41" s="18">
        <v>1.3</v>
      </c>
    </row>
    <row r="42" spans="1:13" ht="15.75" customHeight="1" x14ac:dyDescent="0.3">
      <c r="A42" s="263" t="s">
        <v>176</v>
      </c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</row>
    <row r="43" spans="1:13" ht="13.5" customHeight="1" x14ac:dyDescent="0.3">
      <c r="A43" s="9" t="s">
        <v>177</v>
      </c>
      <c r="B43" s="10" t="s">
        <v>178</v>
      </c>
      <c r="C43" s="19">
        <v>10</v>
      </c>
      <c r="D43" s="19">
        <v>10</v>
      </c>
      <c r="E43" s="19">
        <v>10</v>
      </c>
      <c r="F43" s="19">
        <v>10</v>
      </c>
      <c r="G43" s="19">
        <v>10</v>
      </c>
      <c r="H43" s="19">
        <v>10</v>
      </c>
      <c r="I43" s="19">
        <v>10</v>
      </c>
      <c r="J43" s="19">
        <v>10</v>
      </c>
      <c r="K43" s="19">
        <v>10</v>
      </c>
      <c r="L43" s="19">
        <v>10</v>
      </c>
      <c r="M43" s="19">
        <v>10</v>
      </c>
    </row>
    <row r="44" spans="1:13" ht="13.5" customHeight="1" x14ac:dyDescent="0.3"/>
    <row r="45" spans="1:13" ht="13.5" customHeight="1" x14ac:dyDescent="0.3">
      <c r="A45" s="8" t="s">
        <v>179</v>
      </c>
    </row>
    <row r="46" spans="1:13" ht="13.5" customHeight="1" x14ac:dyDescent="0.3">
      <c r="A46" s="9" t="s">
        <v>180</v>
      </c>
      <c r="B46" s="10" t="s">
        <v>181</v>
      </c>
      <c r="C46" s="11">
        <v>64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</row>
    <row r="47" spans="1:13" ht="23.25" customHeight="1" x14ac:dyDescent="0.3">
      <c r="A47" s="9" t="s">
        <v>182</v>
      </c>
      <c r="B47" s="10" t="s">
        <v>183</v>
      </c>
      <c r="C47" s="11">
        <v>8</v>
      </c>
      <c r="D47" s="11">
        <v>15</v>
      </c>
      <c r="E47" s="11">
        <v>15</v>
      </c>
      <c r="F47" s="11">
        <v>20</v>
      </c>
      <c r="G47" s="11">
        <v>80</v>
      </c>
      <c r="H47" s="11">
        <v>-8</v>
      </c>
      <c r="I47" s="11">
        <v>-20</v>
      </c>
      <c r="J47" s="11">
        <v>-25</v>
      </c>
      <c r="K47" s="11">
        <v>-15</v>
      </c>
      <c r="L47" s="11">
        <v>-8</v>
      </c>
      <c r="M47" s="11">
        <v>0</v>
      </c>
    </row>
    <row r="48" spans="1:13" ht="21.75" customHeight="1" x14ac:dyDescent="0.3">
      <c r="A48" s="9" t="s">
        <v>184</v>
      </c>
      <c r="B48" s="10" t="s">
        <v>185</v>
      </c>
      <c r="C48" s="12">
        <v>1.3</v>
      </c>
      <c r="D48" s="12">
        <v>1.3</v>
      </c>
      <c r="E48" s="12">
        <v>1.3</v>
      </c>
      <c r="F48" s="12">
        <v>1.3</v>
      </c>
      <c r="G48" s="12">
        <v>1.3</v>
      </c>
      <c r="H48" s="12">
        <v>1.3</v>
      </c>
      <c r="I48" s="12">
        <v>1.3</v>
      </c>
      <c r="J48" s="12">
        <v>1.3</v>
      </c>
      <c r="K48" s="12">
        <v>1.3</v>
      </c>
      <c r="L48" s="12">
        <v>1.3</v>
      </c>
      <c r="M48" s="12">
        <v>1.3</v>
      </c>
    </row>
    <row r="49" spans="1:13" ht="32.25" customHeight="1" x14ac:dyDescent="0.3">
      <c r="A49" s="9" t="s">
        <v>186</v>
      </c>
      <c r="B49" s="10" t="s">
        <v>187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45</v>
      </c>
    </row>
    <row r="51" spans="1:13" ht="15" customHeight="1" x14ac:dyDescent="0.3">
      <c r="A51" s="20" t="s">
        <v>188</v>
      </c>
    </row>
    <row r="52" spans="1:13" ht="15" customHeight="1" x14ac:dyDescent="0.3">
      <c r="A52" s="21" t="s">
        <v>189</v>
      </c>
      <c r="C52" s="22">
        <v>380</v>
      </c>
      <c r="D52" s="22">
        <v>380</v>
      </c>
      <c r="E52" s="22">
        <v>380</v>
      </c>
      <c r="F52" s="22">
        <v>380</v>
      </c>
      <c r="G52" s="22">
        <v>380</v>
      </c>
      <c r="H52" s="22">
        <v>380</v>
      </c>
      <c r="I52" s="22">
        <v>380</v>
      </c>
      <c r="J52" s="22">
        <v>380</v>
      </c>
      <c r="K52" s="22">
        <v>380</v>
      </c>
      <c r="L52" s="22">
        <v>380</v>
      </c>
      <c r="M52" s="22">
        <v>380</v>
      </c>
    </row>
    <row r="53" spans="1:13" ht="15" customHeight="1" x14ac:dyDescent="0.3">
      <c r="A53" s="21" t="s">
        <v>190</v>
      </c>
      <c r="C53" s="23">
        <v>0.6</v>
      </c>
      <c r="D53" s="23">
        <v>0.6</v>
      </c>
      <c r="E53" s="23">
        <v>0.6</v>
      </c>
      <c r="F53" s="23">
        <v>0.6</v>
      </c>
      <c r="G53" s="23">
        <v>0.6</v>
      </c>
      <c r="H53" s="23">
        <v>0.6</v>
      </c>
      <c r="I53" s="23">
        <v>0.6</v>
      </c>
      <c r="J53" s="23">
        <v>0.6</v>
      </c>
      <c r="K53" s="23">
        <v>0.6</v>
      </c>
      <c r="L53" s="23">
        <v>0.6</v>
      </c>
      <c r="M53" s="23">
        <v>0.6</v>
      </c>
    </row>
    <row r="54" spans="1:13" ht="15" customHeight="1" x14ac:dyDescent="0.3">
      <c r="A54" s="21" t="s">
        <v>191</v>
      </c>
      <c r="C54" s="23">
        <v>0.04</v>
      </c>
      <c r="D54" s="23">
        <v>0.04</v>
      </c>
      <c r="E54" s="23">
        <v>0.04</v>
      </c>
      <c r="F54" s="23">
        <v>0.04</v>
      </c>
      <c r="G54" s="23">
        <v>0.04</v>
      </c>
      <c r="H54" s="23">
        <v>0.04</v>
      </c>
      <c r="I54" s="23">
        <v>0.04</v>
      </c>
      <c r="J54" s="23">
        <v>0.04</v>
      </c>
      <c r="K54" s="23">
        <v>0.04</v>
      </c>
      <c r="L54" s="23">
        <v>0.04</v>
      </c>
      <c r="M54" s="23">
        <v>0.04</v>
      </c>
    </row>
    <row r="55" spans="1:13" ht="15" customHeight="1" x14ac:dyDescent="0.3">
      <c r="A55" s="21" t="s">
        <v>192</v>
      </c>
      <c r="C55" s="22">
        <v>260</v>
      </c>
      <c r="D55" s="22">
        <v>260</v>
      </c>
      <c r="E55" s="22">
        <v>260</v>
      </c>
      <c r="F55" s="22">
        <v>260</v>
      </c>
      <c r="G55" s="22">
        <v>260</v>
      </c>
      <c r="H55" s="22">
        <v>260</v>
      </c>
      <c r="I55" s="22">
        <v>260</v>
      </c>
      <c r="J55" s="22">
        <v>260</v>
      </c>
      <c r="K55" s="22">
        <v>260</v>
      </c>
      <c r="L55" s="22">
        <v>260</v>
      </c>
      <c r="M55" s="22">
        <v>260</v>
      </c>
    </row>
    <row r="56" spans="1:13" ht="15" customHeight="1" x14ac:dyDescent="0.3">
      <c r="A56" s="21" t="s">
        <v>193</v>
      </c>
      <c r="C56" s="22">
        <v>300</v>
      </c>
      <c r="D56" s="22">
        <v>300</v>
      </c>
      <c r="E56" s="22">
        <v>300</v>
      </c>
      <c r="F56" s="22">
        <v>300</v>
      </c>
      <c r="G56" s="22">
        <v>300</v>
      </c>
      <c r="H56" s="22">
        <v>300</v>
      </c>
      <c r="I56" s="22">
        <v>300</v>
      </c>
      <c r="J56" s="22">
        <v>300</v>
      </c>
      <c r="K56" s="22">
        <v>300</v>
      </c>
      <c r="L56" s="22">
        <v>300</v>
      </c>
      <c r="M56" s="22">
        <v>300</v>
      </c>
    </row>
    <row r="58" spans="1:13" x14ac:dyDescent="0.3">
      <c r="A58" s="166" t="s">
        <v>194</v>
      </c>
    </row>
    <row r="59" spans="1:13" x14ac:dyDescent="0.3">
      <c r="A59" s="167" t="s">
        <v>195</v>
      </c>
      <c r="B59" s="168" t="s">
        <v>196</v>
      </c>
      <c r="C59" s="169">
        <v>80</v>
      </c>
      <c r="D59" s="169">
        <v>79</v>
      </c>
      <c r="E59" s="169">
        <v>78</v>
      </c>
      <c r="F59" s="169">
        <v>77</v>
      </c>
      <c r="G59" s="169">
        <v>70</v>
      </c>
      <c r="H59" s="169">
        <v>72</v>
      </c>
      <c r="I59" s="169">
        <v>73</v>
      </c>
      <c r="J59" s="169">
        <v>72</v>
      </c>
      <c r="K59" s="169">
        <v>71</v>
      </c>
      <c r="L59" s="169">
        <v>69</v>
      </c>
      <c r="M59" s="169">
        <v>65</v>
      </c>
    </row>
    <row r="60" spans="1:13" x14ac:dyDescent="0.3">
      <c r="A60" s="167" t="s">
        <v>197</v>
      </c>
      <c r="B60" s="168" t="s">
        <v>198</v>
      </c>
      <c r="C60" s="169">
        <v>0</v>
      </c>
      <c r="D60" s="169">
        <v>-0.01</v>
      </c>
      <c r="E60" s="169">
        <v>-0.01</v>
      </c>
      <c r="F60" s="169">
        <v>-0.01</v>
      </c>
      <c r="G60" s="169">
        <v>-0.09</v>
      </c>
      <c r="H60" s="169">
        <v>0.03</v>
      </c>
      <c r="I60" s="169">
        <v>0.01</v>
      </c>
      <c r="J60" s="169">
        <v>-0.01</v>
      </c>
      <c r="K60" s="169">
        <v>-0.01</v>
      </c>
      <c r="L60" s="169">
        <v>-0.03</v>
      </c>
      <c r="M60" s="169">
        <v>-0.06</v>
      </c>
    </row>
    <row r="61" spans="1:13" x14ac:dyDescent="0.3">
      <c r="A61" s="167" t="s">
        <v>199</v>
      </c>
      <c r="B61" s="168" t="s">
        <v>200</v>
      </c>
      <c r="C61" s="169">
        <v>60</v>
      </c>
      <c r="D61" s="169">
        <v>63</v>
      </c>
      <c r="E61" s="169">
        <v>67</v>
      </c>
      <c r="F61" s="169">
        <v>72</v>
      </c>
      <c r="G61" s="169">
        <v>68</v>
      </c>
      <c r="H61" s="169">
        <v>78</v>
      </c>
      <c r="I61" s="169">
        <v>88</v>
      </c>
      <c r="J61" s="169">
        <v>96</v>
      </c>
      <c r="K61" s="169">
        <v>105</v>
      </c>
      <c r="L61" s="169">
        <v>112</v>
      </c>
      <c r="M61" s="169">
        <v>108</v>
      </c>
    </row>
    <row r="62" spans="1:13" x14ac:dyDescent="0.3">
      <c r="A62" s="167" t="s">
        <v>201</v>
      </c>
      <c r="B62" s="168" t="s">
        <v>202</v>
      </c>
      <c r="C62" s="169">
        <v>0</v>
      </c>
      <c r="D62" s="169">
        <v>0.05</v>
      </c>
      <c r="E62" s="169">
        <v>0.06</v>
      </c>
      <c r="F62" s="169">
        <v>7.0000000000000007E-2</v>
      </c>
      <c r="G62" s="169">
        <v>-0.06</v>
      </c>
      <c r="H62" s="169">
        <v>0.15</v>
      </c>
      <c r="I62" s="169">
        <v>0.13</v>
      </c>
      <c r="J62" s="169">
        <v>0.09</v>
      </c>
      <c r="K62" s="169">
        <v>0.09</v>
      </c>
      <c r="L62" s="169">
        <v>7.0000000000000007E-2</v>
      </c>
      <c r="M62" s="169">
        <v>-0.04</v>
      </c>
    </row>
    <row r="63" spans="1:13" x14ac:dyDescent="0.3">
      <c r="A63" s="167" t="s">
        <v>203</v>
      </c>
      <c r="B63" s="168" t="s">
        <v>204</v>
      </c>
      <c r="C63" s="169">
        <v>20</v>
      </c>
      <c r="D63" s="169">
        <v>21</v>
      </c>
      <c r="E63" s="169">
        <v>22</v>
      </c>
      <c r="F63" s="169">
        <v>24</v>
      </c>
      <c r="G63" s="169">
        <v>22</v>
      </c>
      <c r="H63" s="169">
        <v>25</v>
      </c>
      <c r="I63" s="169">
        <v>28</v>
      </c>
      <c r="J63" s="169">
        <v>30</v>
      </c>
      <c r="K63" s="169">
        <v>33</v>
      </c>
      <c r="L63" s="169">
        <v>35</v>
      </c>
      <c r="M63" s="169">
        <v>32</v>
      </c>
    </row>
    <row r="64" spans="1:13" x14ac:dyDescent="0.3">
      <c r="A64" s="167" t="s">
        <v>205</v>
      </c>
      <c r="B64" s="168" t="s">
        <v>206</v>
      </c>
      <c r="C64" s="169">
        <v>0</v>
      </c>
      <c r="D64" s="169">
        <v>0.05</v>
      </c>
      <c r="E64" s="169">
        <v>0.05</v>
      </c>
      <c r="F64" s="169">
        <v>0.09</v>
      </c>
      <c r="G64" s="169">
        <v>-0.08</v>
      </c>
      <c r="H64" s="169">
        <v>0.14000000000000001</v>
      </c>
      <c r="I64" s="169">
        <v>0.12</v>
      </c>
      <c r="J64" s="169">
        <v>7.0000000000000007E-2</v>
      </c>
      <c r="K64" s="169">
        <v>0.1</v>
      </c>
      <c r="L64" s="169">
        <v>0.06</v>
      </c>
      <c r="M64" s="169">
        <v>-0.09</v>
      </c>
    </row>
    <row r="65" spans="1:13" x14ac:dyDescent="0.3">
      <c r="A65" s="167" t="s">
        <v>207</v>
      </c>
      <c r="B65" s="168" t="s">
        <v>208</v>
      </c>
      <c r="C65" s="169">
        <v>0.1</v>
      </c>
      <c r="D65" s="169">
        <v>9.8000000000000004E-2</v>
      </c>
      <c r="E65" s="169">
        <v>9.6000000000000002E-2</v>
      </c>
      <c r="F65" s="169">
        <v>9.4E-2</v>
      </c>
      <c r="G65" s="169">
        <v>8.5000000000000006E-2</v>
      </c>
      <c r="H65" s="169">
        <v>8.7999999999999995E-2</v>
      </c>
      <c r="I65" s="169">
        <v>8.5999999999999993E-2</v>
      </c>
      <c r="J65" s="169">
        <v>8.4000000000000005E-2</v>
      </c>
      <c r="K65" s="169">
        <v>8.2000000000000003E-2</v>
      </c>
      <c r="L65" s="169">
        <v>0.08</v>
      </c>
      <c r="M65" s="169">
        <v>7.4999999999999997E-2</v>
      </c>
    </row>
    <row r="66" spans="1:13" x14ac:dyDescent="0.3">
      <c r="A66" s="167" t="s">
        <v>209</v>
      </c>
      <c r="B66" s="168" t="s">
        <v>210</v>
      </c>
      <c r="C66" s="169">
        <v>22</v>
      </c>
      <c r="D66" s="169">
        <v>24</v>
      </c>
      <c r="E66" s="169">
        <v>26</v>
      </c>
      <c r="F66" s="169">
        <v>28</v>
      </c>
      <c r="G66" s="169">
        <v>24</v>
      </c>
      <c r="H66" s="169">
        <v>35</v>
      </c>
      <c r="I66" s="169">
        <v>38</v>
      </c>
      <c r="J66" s="169">
        <v>32</v>
      </c>
      <c r="K66" s="169">
        <v>30</v>
      </c>
      <c r="L66" s="169">
        <v>28</v>
      </c>
      <c r="M66" s="169">
        <v>18</v>
      </c>
    </row>
    <row r="67" spans="1:13" x14ac:dyDescent="0.3">
      <c r="A67" s="167" t="s">
        <v>211</v>
      </c>
      <c r="B67" s="168" t="s">
        <v>212</v>
      </c>
      <c r="C67" s="169">
        <v>0.3</v>
      </c>
      <c r="D67" s="169">
        <v>0.3</v>
      </c>
      <c r="E67" s="169">
        <v>0.32</v>
      </c>
      <c r="F67" s="169">
        <v>0.32</v>
      </c>
      <c r="G67" s="169">
        <v>0.3</v>
      </c>
      <c r="H67" s="169">
        <v>0.35</v>
      </c>
      <c r="I67" s="169">
        <v>0.38</v>
      </c>
      <c r="J67" s="169">
        <v>0.4</v>
      </c>
      <c r="K67" s="169">
        <v>0.4</v>
      </c>
      <c r="L67" s="169">
        <v>0.4</v>
      </c>
      <c r="M67" s="169">
        <v>0.4</v>
      </c>
    </row>
    <row r="68" spans="1:13" x14ac:dyDescent="0.3">
      <c r="A68" s="167" t="s">
        <v>213</v>
      </c>
      <c r="B68" s="168" t="s">
        <v>214</v>
      </c>
      <c r="C68" s="169">
        <v>50</v>
      </c>
      <c r="D68" s="169">
        <v>0</v>
      </c>
      <c r="E68" s="169">
        <v>0</v>
      </c>
      <c r="F68" s="169">
        <v>0</v>
      </c>
      <c r="G68" s="169">
        <v>0</v>
      </c>
      <c r="H68" s="169">
        <v>0</v>
      </c>
      <c r="I68" s="169">
        <v>0</v>
      </c>
      <c r="J68" s="169">
        <v>0</v>
      </c>
      <c r="K68" s="169">
        <v>0</v>
      </c>
      <c r="L68" s="169">
        <v>0</v>
      </c>
      <c r="M68" s="169">
        <v>0</v>
      </c>
    </row>
    <row r="69" spans="1:13" x14ac:dyDescent="0.3">
      <c r="A69" s="167" t="s">
        <v>215</v>
      </c>
      <c r="B69" s="168" t="s">
        <v>216</v>
      </c>
      <c r="C69" s="169">
        <v>0</v>
      </c>
      <c r="D69" s="169">
        <v>0.06</v>
      </c>
      <c r="E69" s="169">
        <v>7.0000000000000007E-2</v>
      </c>
      <c r="F69" s="169">
        <v>0.08</v>
      </c>
      <c r="G69" s="169">
        <v>0.25</v>
      </c>
      <c r="H69" s="169">
        <v>0.2</v>
      </c>
      <c r="I69" s="169">
        <v>0.15</v>
      </c>
      <c r="J69" s="169">
        <v>0.1</v>
      </c>
      <c r="K69" s="169">
        <v>0.08</v>
      </c>
      <c r="L69" s="169">
        <v>0.05</v>
      </c>
      <c r="M69" s="169">
        <v>0.15</v>
      </c>
    </row>
    <row r="70" spans="1:13" x14ac:dyDescent="0.3">
      <c r="A70" s="167" t="s">
        <v>217</v>
      </c>
      <c r="B70" s="208" t="s">
        <v>218</v>
      </c>
      <c r="C70" s="169">
        <f>GlobalBankCo!C4</f>
        <v>80</v>
      </c>
      <c r="D70" s="169">
        <f>GlobalBankCo!C4</f>
        <v>80</v>
      </c>
      <c r="E70" s="169">
        <f>GlobalBankCo!C4</f>
        <v>80</v>
      </c>
      <c r="F70" s="169">
        <f>GlobalBankCo!C4</f>
        <v>80</v>
      </c>
      <c r="G70" s="169">
        <f>GlobalBankCo!C4</f>
        <v>80</v>
      </c>
      <c r="H70" s="169">
        <f>GlobalBankCo!C4</f>
        <v>80</v>
      </c>
      <c r="I70" s="169">
        <f>GlobalBankCo!C4</f>
        <v>80</v>
      </c>
      <c r="J70" s="169">
        <f>GlobalBankCo!C4</f>
        <v>80</v>
      </c>
      <c r="K70" s="169">
        <f>GlobalBankCo!C4</f>
        <v>80</v>
      </c>
      <c r="L70" s="169">
        <f>GlobalBankCo!C4</f>
        <v>80</v>
      </c>
      <c r="M70" s="169">
        <f>GlobalBankCo!C4</f>
        <v>80</v>
      </c>
    </row>
    <row r="71" spans="1:13" x14ac:dyDescent="0.3">
      <c r="A71" s="167" t="s">
        <v>219</v>
      </c>
      <c r="B71" t="s">
        <v>220</v>
      </c>
      <c r="C71" s="169">
        <v>0.2</v>
      </c>
      <c r="D71" s="169">
        <v>0.2</v>
      </c>
      <c r="E71" s="169">
        <v>0.2</v>
      </c>
      <c r="F71" s="169">
        <v>0.2</v>
      </c>
      <c r="G71" s="169">
        <v>0.2</v>
      </c>
      <c r="H71" s="169">
        <v>0.2</v>
      </c>
      <c r="I71" s="169">
        <v>0.2</v>
      </c>
      <c r="J71" s="169">
        <v>0.2</v>
      </c>
      <c r="K71" s="169">
        <v>0.2</v>
      </c>
      <c r="L71" s="169">
        <v>0.2</v>
      </c>
      <c r="M71" s="169">
        <v>0.2</v>
      </c>
    </row>
    <row r="74" spans="1:13" x14ac:dyDescent="0.3">
      <c r="A74" s="261" t="s">
        <v>221</v>
      </c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</row>
    <row r="75" spans="1:13" x14ac:dyDescent="0.3">
      <c r="A75" s="167" t="s">
        <v>222</v>
      </c>
      <c r="B75" s="208" t="s">
        <v>223</v>
      </c>
      <c r="C75" s="169">
        <v>20</v>
      </c>
      <c r="D75" s="169">
        <v>22</v>
      </c>
      <c r="E75" s="169">
        <v>25</v>
      </c>
      <c r="F75" s="169">
        <v>28</v>
      </c>
      <c r="G75" s="169">
        <v>30</v>
      </c>
      <c r="H75" s="169">
        <v>35</v>
      </c>
      <c r="I75" s="169">
        <v>40</v>
      </c>
      <c r="J75" s="169">
        <v>45</v>
      </c>
      <c r="K75" s="169">
        <v>50</v>
      </c>
      <c r="L75" s="169">
        <v>55</v>
      </c>
      <c r="M75" s="169">
        <v>50</v>
      </c>
    </row>
    <row r="76" spans="1:13" x14ac:dyDescent="0.3">
      <c r="A76" s="167" t="s">
        <v>224</v>
      </c>
      <c r="B76" s="208" t="s">
        <v>225</v>
      </c>
      <c r="C76" s="169">
        <v>0</v>
      </c>
      <c r="D76" s="169">
        <v>0.1</v>
      </c>
      <c r="E76" s="169">
        <v>0.14000000000000001</v>
      </c>
      <c r="F76" s="169">
        <v>0.12</v>
      </c>
      <c r="G76" s="169">
        <v>0.17</v>
      </c>
      <c r="H76" s="169">
        <v>0.14000000000000001</v>
      </c>
      <c r="I76" s="169">
        <v>0.14000000000000001</v>
      </c>
      <c r="J76" s="169">
        <v>0.11</v>
      </c>
      <c r="K76" s="169">
        <v>0.1</v>
      </c>
      <c r="L76" s="169">
        <v>0.1</v>
      </c>
      <c r="M76" s="169">
        <v>-0.09</v>
      </c>
    </row>
    <row r="77" spans="1:13" x14ac:dyDescent="0.3">
      <c r="A77" s="167" t="s">
        <v>226</v>
      </c>
      <c r="B77" s="208" t="s">
        <v>227</v>
      </c>
      <c r="C77" s="169">
        <v>0.05</v>
      </c>
      <c r="D77" s="169">
        <v>0.05</v>
      </c>
      <c r="E77" s="169">
        <v>0.06</v>
      </c>
      <c r="F77" s="169">
        <v>0.06</v>
      </c>
      <c r="G77" s="169">
        <v>0.1</v>
      </c>
      <c r="H77" s="169">
        <v>0.08</v>
      </c>
      <c r="I77" s="169">
        <v>0.08</v>
      </c>
      <c r="J77" s="169">
        <v>0.1</v>
      </c>
      <c r="K77" s="169">
        <v>0.12</v>
      </c>
      <c r="L77" s="169">
        <v>0.15</v>
      </c>
      <c r="M77" s="169">
        <v>0.22</v>
      </c>
    </row>
    <row r="78" spans="1:13" x14ac:dyDescent="0.3">
      <c r="A78" s="167" t="s">
        <v>228</v>
      </c>
      <c r="B78" s="208" t="s">
        <v>229</v>
      </c>
      <c r="C78" s="169">
        <v>0</v>
      </c>
      <c r="D78" s="169">
        <v>0</v>
      </c>
      <c r="E78" s="169">
        <v>0</v>
      </c>
      <c r="F78" s="169">
        <v>0</v>
      </c>
      <c r="G78" s="169">
        <v>0</v>
      </c>
      <c r="H78" s="169">
        <v>0</v>
      </c>
      <c r="I78" s="169">
        <v>0</v>
      </c>
      <c r="J78" s="169">
        <v>0</v>
      </c>
      <c r="K78" s="169">
        <v>0</v>
      </c>
      <c r="L78" s="169">
        <v>0</v>
      </c>
      <c r="M78" s="169">
        <v>0.15</v>
      </c>
    </row>
    <row r="80" spans="1:13" x14ac:dyDescent="0.3">
      <c r="A80" s="261" t="s">
        <v>230</v>
      </c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  <c r="M80" s="259"/>
    </row>
    <row r="81" spans="1:13" x14ac:dyDescent="0.3">
      <c r="A81" s="167" t="s">
        <v>231</v>
      </c>
      <c r="B81" s="208" t="s">
        <v>232</v>
      </c>
      <c r="C81" s="169">
        <f>ASSUMPTIONS!C52</f>
        <v>380</v>
      </c>
      <c r="D81" s="169">
        <f>ASSUMPTIONS!C52</f>
        <v>380</v>
      </c>
      <c r="E81" s="169">
        <f>ASSUMPTIONS!C52</f>
        <v>380</v>
      </c>
      <c r="F81" s="169">
        <f>ASSUMPTIONS!C52</f>
        <v>380</v>
      </c>
      <c r="G81" s="169">
        <f>ASSUMPTIONS!C52</f>
        <v>380</v>
      </c>
      <c r="H81" s="169">
        <f>ASSUMPTIONS!C52</f>
        <v>380</v>
      </c>
      <c r="I81" s="169">
        <f>ASSUMPTIONS!C52</f>
        <v>380</v>
      </c>
      <c r="J81" s="169">
        <f>ASSUMPTIONS!C52</f>
        <v>380</v>
      </c>
      <c r="K81" s="169">
        <f>ASSUMPTIONS!C52</f>
        <v>380</v>
      </c>
      <c r="L81" s="169">
        <f>ASSUMPTIONS!C52</f>
        <v>380</v>
      </c>
      <c r="M81" s="169">
        <f>ASSUMPTIONS!C52</f>
        <v>380</v>
      </c>
    </row>
    <row r="83" spans="1:13" x14ac:dyDescent="0.3">
      <c r="A83" s="261" t="s">
        <v>233</v>
      </c>
      <c r="B83" s="259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</row>
    <row r="84" spans="1:13" x14ac:dyDescent="0.3">
      <c r="A84" s="167" t="s">
        <v>234</v>
      </c>
      <c r="B84" s="208" t="s">
        <v>235</v>
      </c>
      <c r="C84" s="169">
        <v>0.5</v>
      </c>
      <c r="D84" s="169">
        <v>0.5</v>
      </c>
      <c r="E84" s="169">
        <v>0.5</v>
      </c>
      <c r="F84" s="169">
        <v>0.5</v>
      </c>
      <c r="G84" s="169">
        <v>0.5</v>
      </c>
      <c r="H84" s="169">
        <v>0.5</v>
      </c>
      <c r="I84" s="169">
        <v>0.5</v>
      </c>
      <c r="J84" s="169">
        <v>0.5</v>
      </c>
      <c r="K84" s="169">
        <v>0.5</v>
      </c>
      <c r="L84" s="169">
        <v>0.5</v>
      </c>
      <c r="M84" s="169">
        <v>0.5</v>
      </c>
    </row>
    <row r="85" spans="1:13" x14ac:dyDescent="0.3">
      <c r="A85" s="167" t="s">
        <v>236</v>
      </c>
      <c r="B85" s="208" t="s">
        <v>237</v>
      </c>
      <c r="C85" s="169">
        <v>0.25</v>
      </c>
      <c r="D85" s="169">
        <v>0.25</v>
      </c>
      <c r="E85" s="169">
        <v>0.25</v>
      </c>
      <c r="F85" s="169">
        <v>0.25</v>
      </c>
      <c r="G85" s="169">
        <v>0.25</v>
      </c>
      <c r="H85" s="169">
        <v>0.25</v>
      </c>
      <c r="I85" s="169">
        <v>0.25</v>
      </c>
      <c r="J85" s="169">
        <v>0.25</v>
      </c>
      <c r="K85" s="169">
        <v>0.25</v>
      </c>
      <c r="L85" s="169">
        <v>0.25</v>
      </c>
      <c r="M85" s="169">
        <v>0.25</v>
      </c>
    </row>
    <row r="86" spans="1:13" x14ac:dyDescent="0.3">
      <c r="A86" s="167" t="s">
        <v>238</v>
      </c>
      <c r="B86" s="208" t="s">
        <v>239</v>
      </c>
      <c r="C86" s="169">
        <v>0.25</v>
      </c>
      <c r="D86" s="169">
        <v>0.25</v>
      </c>
      <c r="E86" s="169">
        <v>0.25</v>
      </c>
      <c r="F86" s="169">
        <v>0.25</v>
      </c>
      <c r="G86" s="169">
        <v>0.25</v>
      </c>
      <c r="H86" s="169">
        <v>0.25</v>
      </c>
      <c r="I86" s="169">
        <v>0.25</v>
      </c>
      <c r="J86" s="169">
        <v>0.25</v>
      </c>
      <c r="K86" s="169">
        <v>0.25</v>
      </c>
      <c r="L86" s="169">
        <v>0.25</v>
      </c>
      <c r="M86" s="169">
        <v>0.25</v>
      </c>
    </row>
    <row r="87" spans="1:13" x14ac:dyDescent="0.3">
      <c r="A87" s="167" t="s">
        <v>240</v>
      </c>
      <c r="B87" s="208" t="s">
        <v>241</v>
      </c>
      <c r="C87" s="169">
        <v>8</v>
      </c>
      <c r="D87" s="169">
        <v>8</v>
      </c>
      <c r="E87" s="169">
        <v>8</v>
      </c>
      <c r="F87" s="169">
        <v>8</v>
      </c>
      <c r="G87" s="169">
        <v>8</v>
      </c>
      <c r="H87" s="169">
        <v>8</v>
      </c>
      <c r="I87" s="169">
        <v>8</v>
      </c>
      <c r="J87" s="169">
        <v>8</v>
      </c>
      <c r="K87" s="169">
        <v>8</v>
      </c>
      <c r="L87" s="169">
        <v>8</v>
      </c>
      <c r="M87" s="169">
        <v>12</v>
      </c>
    </row>
    <row r="89" spans="1:13" x14ac:dyDescent="0.3">
      <c r="A89" s="261" t="s">
        <v>242</v>
      </c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</row>
    <row r="90" spans="1:13" x14ac:dyDescent="0.3">
      <c r="A90" s="167" t="s">
        <v>243</v>
      </c>
      <c r="B90" s="208" t="s">
        <v>244</v>
      </c>
      <c r="C90" s="169">
        <v>1</v>
      </c>
      <c r="D90" s="169">
        <v>1</v>
      </c>
      <c r="E90" s="169">
        <v>1</v>
      </c>
      <c r="F90" s="169">
        <v>1</v>
      </c>
      <c r="G90" s="169">
        <v>1</v>
      </c>
      <c r="H90" s="169">
        <v>1</v>
      </c>
      <c r="I90" s="169">
        <v>1</v>
      </c>
      <c r="J90" s="169">
        <v>1</v>
      </c>
      <c r="K90" s="169">
        <v>1</v>
      </c>
      <c r="L90" s="169">
        <v>0.6</v>
      </c>
      <c r="M90" s="169">
        <v>0.4</v>
      </c>
    </row>
    <row r="91" spans="1:13" x14ac:dyDescent="0.3">
      <c r="A91" s="167" t="s">
        <v>245</v>
      </c>
      <c r="B91" s="208" t="s">
        <v>246</v>
      </c>
      <c r="C91" s="169">
        <f>HedgeCo!C4*ASSUMPTIONS!C90</f>
        <v>80</v>
      </c>
      <c r="D91" s="169">
        <f>HedgeCo!D4*ASSUMPTIONS!D90</f>
        <v>104.55499999999999</v>
      </c>
      <c r="E91" s="169">
        <f>HedgeCo!E4*ASSUMPTIONS!E90</f>
        <v>145.95030000000003</v>
      </c>
      <c r="F91" s="169">
        <f>HedgeCo!F4*ASSUMPTIONS!F90</f>
        <v>196.90747800000003</v>
      </c>
      <c r="G91" s="169">
        <f>HedgeCo!G4*ASSUMPTIONS!G90</f>
        <v>242.16999708000003</v>
      </c>
      <c r="H91" s="169">
        <f>HedgeCo!H4*ASSUMPTIONS!H90</f>
        <v>305.06013533680004</v>
      </c>
      <c r="I91" s="169">
        <f>HedgeCo!I4*ASSUMPTIONS!I90</f>
        <v>437.86860982734413</v>
      </c>
      <c r="J91" s="169">
        <f>HedgeCo!J4*ASSUMPTIONS!J90</f>
        <v>573.64709493745579</v>
      </c>
      <c r="K91" s="169">
        <f>HedgeCo!K4*ASSUMPTIONS!K90</f>
        <v>753.98583252169863</v>
      </c>
      <c r="L91" s="169">
        <f>HedgeCo!L4*ASSUMPTIONS!L90</f>
        <v>557.28820909944761</v>
      </c>
      <c r="M91" s="169">
        <f>HedgeCo!M4*ASSUMPTIONS!M90</f>
        <v>409.03293753049013</v>
      </c>
    </row>
    <row r="93" spans="1:13" x14ac:dyDescent="0.3">
      <c r="A93" s="261" t="s">
        <v>247</v>
      </c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</row>
    <row r="94" spans="1:13" x14ac:dyDescent="0.3">
      <c r="A94" s="167" t="s">
        <v>248</v>
      </c>
      <c r="B94" s="208" t="s">
        <v>249</v>
      </c>
      <c r="C94" s="169">
        <v>4.2000000000000003E-2</v>
      </c>
      <c r="D94" s="169">
        <v>4.2000000000000003E-2</v>
      </c>
      <c r="E94" s="169">
        <v>4.2000000000000003E-2</v>
      </c>
      <c r="F94" s="169">
        <v>4.2000000000000003E-2</v>
      </c>
      <c r="G94" s="169">
        <v>4.2000000000000003E-2</v>
      </c>
      <c r="H94" s="169">
        <v>4.2000000000000003E-2</v>
      </c>
      <c r="I94" s="169">
        <v>4.2000000000000003E-2</v>
      </c>
      <c r="J94" s="169">
        <v>4.2000000000000003E-2</v>
      </c>
      <c r="K94" s="169">
        <v>4.2000000000000003E-2</v>
      </c>
      <c r="L94" s="169">
        <v>5.5E-2</v>
      </c>
      <c r="M94" s="169">
        <v>7.4999999999999997E-2</v>
      </c>
    </row>
    <row r="95" spans="1:13" x14ac:dyDescent="0.3">
      <c r="A95" s="167" t="s">
        <v>250</v>
      </c>
      <c r="B95" s="208" t="s">
        <v>251</v>
      </c>
      <c r="C95" s="169">
        <v>5.2999999999999999E-2</v>
      </c>
      <c r="D95" s="169">
        <v>5.2999999999999999E-2</v>
      </c>
      <c r="E95" s="169">
        <v>5.2999999999999999E-2</v>
      </c>
      <c r="F95" s="169">
        <v>5.2999999999999999E-2</v>
      </c>
      <c r="G95" s="169">
        <v>5.2999999999999999E-2</v>
      </c>
      <c r="H95" s="169">
        <v>5.2999999999999999E-2</v>
      </c>
      <c r="I95" s="169">
        <v>5.2999999999999999E-2</v>
      </c>
      <c r="J95" s="169">
        <v>5.2999999999999999E-2</v>
      </c>
      <c r="K95" s="169">
        <v>5.2999999999999999E-2</v>
      </c>
      <c r="L95" s="169">
        <v>5.2999999999999999E-2</v>
      </c>
      <c r="M95" s="169">
        <v>5.2999999999999999E-2</v>
      </c>
    </row>
    <row r="96" spans="1:13" x14ac:dyDescent="0.3">
      <c r="A96" s="167" t="s">
        <v>252</v>
      </c>
      <c r="B96" s="208" t="s">
        <v>253</v>
      </c>
      <c r="C96" s="169">
        <v>2</v>
      </c>
      <c r="D96" s="169">
        <v>2</v>
      </c>
      <c r="E96" s="169">
        <v>2</v>
      </c>
      <c r="F96" s="169">
        <v>2</v>
      </c>
      <c r="G96" s="169">
        <v>2</v>
      </c>
      <c r="H96" s="169">
        <v>2</v>
      </c>
      <c r="I96" s="169">
        <v>2</v>
      </c>
      <c r="J96" s="169">
        <v>2</v>
      </c>
      <c r="K96" s="169">
        <v>2</v>
      </c>
      <c r="L96" s="169">
        <v>2</v>
      </c>
      <c r="M96" s="169">
        <v>2</v>
      </c>
    </row>
    <row r="97" spans="1:13" x14ac:dyDescent="0.3">
      <c r="A97" s="167" t="s">
        <v>254</v>
      </c>
      <c r="B97" s="208" t="s">
        <v>255</v>
      </c>
      <c r="C97" s="169">
        <v>1</v>
      </c>
      <c r="D97" s="169">
        <v>1</v>
      </c>
      <c r="E97" s="169">
        <v>1</v>
      </c>
      <c r="F97" s="169">
        <v>1</v>
      </c>
      <c r="G97" s="169">
        <v>1</v>
      </c>
      <c r="H97" s="169">
        <v>1</v>
      </c>
      <c r="I97" s="169">
        <v>1</v>
      </c>
      <c r="J97" s="169">
        <v>1</v>
      </c>
      <c r="K97" s="169">
        <v>1</v>
      </c>
      <c r="L97" s="169">
        <v>1</v>
      </c>
      <c r="M97" s="169">
        <v>1</v>
      </c>
    </row>
    <row r="98" spans="1:13" x14ac:dyDescent="0.3">
      <c r="A98" s="167" t="s">
        <v>256</v>
      </c>
      <c r="B98" s="208" t="s">
        <v>257</v>
      </c>
      <c r="C98" s="169">
        <v>0.3</v>
      </c>
      <c r="D98" s="169">
        <v>0.3</v>
      </c>
      <c r="E98" s="169">
        <v>0.3</v>
      </c>
      <c r="F98" s="169">
        <v>0.3</v>
      </c>
      <c r="G98" s="169">
        <v>0.3</v>
      </c>
      <c r="H98" s="169">
        <v>0.3</v>
      </c>
      <c r="I98" s="169">
        <v>0.3</v>
      </c>
      <c r="J98" s="169">
        <v>0.3</v>
      </c>
      <c r="K98" s="169">
        <v>0.3</v>
      </c>
      <c r="L98" s="169">
        <v>0.3</v>
      </c>
      <c r="M98" s="169">
        <v>0.3</v>
      </c>
    </row>
    <row r="99" spans="1:13" x14ac:dyDescent="0.3">
      <c r="A99" s="167" t="s">
        <v>258</v>
      </c>
      <c r="B99" s="208" t="s">
        <v>259</v>
      </c>
      <c r="C99" s="169">
        <v>5.5E-2</v>
      </c>
      <c r="D99" s="169">
        <v>5.5E-2</v>
      </c>
      <c r="E99" s="169">
        <v>5.5E-2</v>
      </c>
      <c r="F99" s="169">
        <v>5.5E-2</v>
      </c>
      <c r="G99" s="169">
        <v>5.5E-2</v>
      </c>
      <c r="H99" s="169">
        <v>5.5E-2</v>
      </c>
      <c r="I99" s="169">
        <v>5.5E-2</v>
      </c>
      <c r="J99" s="169">
        <v>5.5E-2</v>
      </c>
      <c r="K99" s="169">
        <v>5.5E-2</v>
      </c>
      <c r="L99" s="169">
        <v>5.5E-2</v>
      </c>
      <c r="M99" s="169">
        <v>5.5E-2</v>
      </c>
    </row>
    <row r="100" spans="1:13" x14ac:dyDescent="0.3">
      <c r="A100" s="167" t="s">
        <v>260</v>
      </c>
      <c r="B100" s="208" t="s">
        <v>261</v>
      </c>
      <c r="C100" s="169">
        <v>0.4</v>
      </c>
      <c r="D100" s="169">
        <v>0.4</v>
      </c>
      <c r="E100" s="169">
        <v>0.4</v>
      </c>
      <c r="F100" s="169">
        <v>0.4</v>
      </c>
      <c r="G100" s="169">
        <v>0.4</v>
      </c>
      <c r="H100" s="169">
        <v>0.4</v>
      </c>
      <c r="I100" s="169">
        <v>0.4</v>
      </c>
      <c r="J100" s="169">
        <v>0.4</v>
      </c>
      <c r="K100" s="169">
        <v>0.4</v>
      </c>
      <c r="L100" s="169">
        <v>0.4</v>
      </c>
      <c r="M100" s="169">
        <v>0.4</v>
      </c>
    </row>
    <row r="101" spans="1:13" x14ac:dyDescent="0.3">
      <c r="A101" s="167" t="s">
        <v>262</v>
      </c>
      <c r="B101" s="208" t="s">
        <v>263</v>
      </c>
      <c r="C101" s="169">
        <v>0</v>
      </c>
      <c r="D101" s="169">
        <v>0</v>
      </c>
      <c r="E101" s="169">
        <v>0</v>
      </c>
      <c r="F101" s="169">
        <v>0</v>
      </c>
      <c r="G101" s="169">
        <v>0</v>
      </c>
      <c r="H101" s="169">
        <v>0</v>
      </c>
      <c r="I101" s="169">
        <v>0</v>
      </c>
      <c r="J101" s="169">
        <v>0</v>
      </c>
      <c r="K101" s="169">
        <v>0</v>
      </c>
      <c r="L101" s="169">
        <v>5.0000000000000001E-3</v>
      </c>
      <c r="M101" s="169">
        <v>1.4999999999999999E-2</v>
      </c>
    </row>
    <row r="103" spans="1:13" x14ac:dyDescent="0.3">
      <c r="A103" s="261" t="s">
        <v>264</v>
      </c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  <c r="M103" s="259"/>
    </row>
    <row r="104" spans="1:13" x14ac:dyDescent="0.3">
      <c r="A104" s="167" t="s">
        <v>265</v>
      </c>
      <c r="B104" s="208" t="s">
        <v>266</v>
      </c>
      <c r="C104" s="169">
        <v>0</v>
      </c>
      <c r="D104" s="169">
        <v>0</v>
      </c>
      <c r="E104" s="169">
        <v>0</v>
      </c>
      <c r="F104" s="169">
        <v>0</v>
      </c>
      <c r="G104" s="169">
        <v>0</v>
      </c>
      <c r="H104" s="169">
        <v>0</v>
      </c>
      <c r="I104" s="169">
        <v>0</v>
      </c>
      <c r="J104" s="169">
        <v>0</v>
      </c>
      <c r="K104" s="169">
        <v>1</v>
      </c>
      <c r="L104" s="169">
        <v>2</v>
      </c>
      <c r="M104" s="169">
        <v>2</v>
      </c>
    </row>
    <row r="105" spans="1:13" x14ac:dyDescent="0.3">
      <c r="A105" s="167" t="s">
        <v>267</v>
      </c>
      <c r="B105" s="208" t="s">
        <v>268</v>
      </c>
      <c r="C105" s="169">
        <v>3</v>
      </c>
      <c r="D105" s="169">
        <v>3</v>
      </c>
      <c r="E105" s="169">
        <v>3</v>
      </c>
      <c r="F105" s="169">
        <v>3</v>
      </c>
      <c r="G105" s="169">
        <v>3</v>
      </c>
      <c r="H105" s="169">
        <v>3</v>
      </c>
      <c r="I105" s="169">
        <v>3</v>
      </c>
      <c r="J105" s="169">
        <v>3</v>
      </c>
      <c r="K105" s="169">
        <v>3</v>
      </c>
      <c r="L105" s="169">
        <v>3</v>
      </c>
      <c r="M105" s="169">
        <v>3</v>
      </c>
    </row>
    <row r="106" spans="1:13" x14ac:dyDescent="0.3">
      <c r="A106" s="167" t="s">
        <v>269</v>
      </c>
      <c r="B106" s="208" t="s">
        <v>270</v>
      </c>
      <c r="C106" s="169">
        <v>1</v>
      </c>
      <c r="D106" s="169">
        <v>1</v>
      </c>
      <c r="E106" s="169">
        <v>1</v>
      </c>
      <c r="F106" s="169">
        <v>1</v>
      </c>
      <c r="G106" s="169">
        <v>1</v>
      </c>
      <c r="H106" s="169">
        <v>1</v>
      </c>
      <c r="I106" s="169">
        <v>1</v>
      </c>
      <c r="J106" s="169">
        <v>1</v>
      </c>
      <c r="K106" s="169">
        <v>0</v>
      </c>
      <c r="L106" s="169">
        <v>0.4</v>
      </c>
      <c r="M106" s="169">
        <v>0.6</v>
      </c>
    </row>
    <row r="107" spans="1:13" x14ac:dyDescent="0.3">
      <c r="A107" s="167" t="s">
        <v>271</v>
      </c>
      <c r="B107" s="208" t="s">
        <v>272</v>
      </c>
      <c r="C107" s="169">
        <v>1</v>
      </c>
      <c r="D107" s="169">
        <v>1</v>
      </c>
      <c r="E107" s="169">
        <v>1</v>
      </c>
      <c r="F107" s="169">
        <v>1</v>
      </c>
      <c r="G107" s="169">
        <v>1</v>
      </c>
      <c r="H107" s="169">
        <v>1</v>
      </c>
      <c r="I107" s="169">
        <v>1</v>
      </c>
      <c r="J107" s="169">
        <v>1</v>
      </c>
      <c r="K107" s="169">
        <v>2.8</v>
      </c>
      <c r="L107" s="169">
        <v>2.2000000000000002</v>
      </c>
      <c r="M107" s="169">
        <v>1.8</v>
      </c>
    </row>
    <row r="108" spans="1:13" x14ac:dyDescent="0.3">
      <c r="A108" s="167" t="s">
        <v>273</v>
      </c>
      <c r="B108" s="208" t="s">
        <v>274</v>
      </c>
      <c r="C108" s="169">
        <v>800</v>
      </c>
      <c r="D108" s="169">
        <v>800</v>
      </c>
      <c r="E108" s="169">
        <v>810</v>
      </c>
      <c r="F108" s="169">
        <v>820</v>
      </c>
      <c r="G108" s="169">
        <v>830</v>
      </c>
      <c r="H108" s="169">
        <v>840</v>
      </c>
      <c r="I108" s="169">
        <v>850</v>
      </c>
      <c r="J108" s="169">
        <v>860</v>
      </c>
      <c r="K108" s="169">
        <v>860</v>
      </c>
      <c r="L108" s="169">
        <v>840</v>
      </c>
      <c r="M108" s="169">
        <v>830</v>
      </c>
    </row>
    <row r="109" spans="1:13" x14ac:dyDescent="0.3">
      <c r="A109" s="167" t="s">
        <v>275</v>
      </c>
      <c r="B109" s="208" t="s">
        <v>276</v>
      </c>
      <c r="C109" s="169">
        <v>150</v>
      </c>
      <c r="D109" s="169">
        <v>150</v>
      </c>
      <c r="E109" s="169">
        <v>153</v>
      </c>
      <c r="F109" s="169">
        <v>156</v>
      </c>
      <c r="G109" s="169">
        <v>159</v>
      </c>
      <c r="H109" s="169">
        <v>162</v>
      </c>
      <c r="I109" s="169">
        <v>165</v>
      </c>
      <c r="J109" s="169">
        <v>168</v>
      </c>
      <c r="K109" s="169">
        <v>0</v>
      </c>
      <c r="L109" s="169">
        <v>132</v>
      </c>
      <c r="M109" s="169">
        <v>162</v>
      </c>
    </row>
    <row r="110" spans="1:13" x14ac:dyDescent="0.3">
      <c r="A110" s="167" t="s">
        <v>277</v>
      </c>
      <c r="B110" s="208" t="s">
        <v>278</v>
      </c>
      <c r="C110" s="169">
        <v>1</v>
      </c>
      <c r="D110" s="169">
        <v>1</v>
      </c>
      <c r="E110" s="169">
        <v>1</v>
      </c>
      <c r="F110" s="169">
        <v>1</v>
      </c>
      <c r="G110" s="169">
        <v>1</v>
      </c>
      <c r="H110" s="169">
        <v>1</v>
      </c>
      <c r="I110" s="169">
        <v>1</v>
      </c>
      <c r="J110" s="169">
        <v>1</v>
      </c>
      <c r="K110" s="169">
        <v>0</v>
      </c>
      <c r="L110" s="169">
        <v>0.4</v>
      </c>
      <c r="M110" s="169">
        <v>0.6</v>
      </c>
    </row>
    <row r="111" spans="1:13" x14ac:dyDescent="0.3">
      <c r="A111" s="167" t="s">
        <v>279</v>
      </c>
      <c r="B111" s="208" t="s">
        <v>280</v>
      </c>
      <c r="C111" s="169">
        <v>1</v>
      </c>
      <c r="D111" s="169">
        <v>1</v>
      </c>
      <c r="E111" s="169">
        <v>1</v>
      </c>
      <c r="F111" s="169">
        <v>1</v>
      </c>
      <c r="G111" s="169">
        <v>1</v>
      </c>
      <c r="H111" s="169">
        <v>1</v>
      </c>
      <c r="I111" s="169">
        <v>1</v>
      </c>
      <c r="J111" s="169">
        <v>1</v>
      </c>
      <c r="K111" s="169">
        <v>0</v>
      </c>
      <c r="L111" s="169">
        <v>2.2000000000000002</v>
      </c>
      <c r="M111" s="169">
        <v>1.8</v>
      </c>
    </row>
    <row r="113" spans="1:13" x14ac:dyDescent="0.3">
      <c r="A113" s="261" t="s">
        <v>281</v>
      </c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</row>
    <row r="114" spans="1:13" x14ac:dyDescent="0.3">
      <c r="A114" s="167" t="s">
        <v>282</v>
      </c>
      <c r="B114" s="208" t="s">
        <v>283</v>
      </c>
      <c r="C114" s="169">
        <v>0.04</v>
      </c>
      <c r="D114" s="169">
        <v>0.04</v>
      </c>
      <c r="E114" s="169">
        <v>0.04</v>
      </c>
      <c r="F114" s="169">
        <v>0.04</v>
      </c>
      <c r="G114" s="169">
        <v>0.04</v>
      </c>
      <c r="H114" s="169">
        <v>0.04</v>
      </c>
      <c r="I114" s="169">
        <v>0.04</v>
      </c>
      <c r="J114" s="169">
        <v>0.04</v>
      </c>
      <c r="K114" s="169">
        <v>0.04</v>
      </c>
      <c r="L114" s="169">
        <v>0.04</v>
      </c>
      <c r="M114" s="169">
        <v>0.04</v>
      </c>
    </row>
    <row r="115" spans="1:13" x14ac:dyDescent="0.3">
      <c r="A115" s="167" t="s">
        <v>284</v>
      </c>
      <c r="B115" s="208" t="s">
        <v>285</v>
      </c>
      <c r="C115" s="169">
        <v>1.6</v>
      </c>
      <c r="D115" s="169">
        <v>1.6</v>
      </c>
      <c r="E115" s="169">
        <v>1.6</v>
      </c>
      <c r="F115" s="169">
        <v>1.6</v>
      </c>
      <c r="G115" s="169">
        <v>1.6</v>
      </c>
      <c r="H115" s="169">
        <v>1.6</v>
      </c>
      <c r="I115" s="169">
        <v>1.6</v>
      </c>
      <c r="J115" s="169">
        <v>1.6</v>
      </c>
      <c r="K115" s="169">
        <v>1.6</v>
      </c>
      <c r="L115" s="169">
        <v>1.6</v>
      </c>
      <c r="M115" s="169">
        <v>1.6</v>
      </c>
    </row>
    <row r="116" spans="1:13" x14ac:dyDescent="0.3">
      <c r="A116" s="167" t="s">
        <v>286</v>
      </c>
      <c r="B116" s="208" t="s">
        <v>287</v>
      </c>
      <c r="C116" s="169">
        <v>0</v>
      </c>
      <c r="D116" s="169">
        <v>0</v>
      </c>
      <c r="E116" s="169">
        <v>0</v>
      </c>
      <c r="F116" s="169">
        <v>0</v>
      </c>
      <c r="G116" s="169">
        <v>0</v>
      </c>
      <c r="H116" s="169">
        <v>0</v>
      </c>
      <c r="I116" s="169">
        <v>0</v>
      </c>
      <c r="J116" s="169">
        <v>0</v>
      </c>
      <c r="K116" s="169">
        <v>1</v>
      </c>
      <c r="L116" s="169">
        <v>1</v>
      </c>
      <c r="M116" s="169">
        <v>1</v>
      </c>
    </row>
    <row r="117" spans="1:13" x14ac:dyDescent="0.3">
      <c r="A117" s="167" t="s">
        <v>288</v>
      </c>
      <c r="B117" s="208" t="s">
        <v>289</v>
      </c>
      <c r="C117" s="169">
        <v>0</v>
      </c>
      <c r="D117" s="169">
        <v>0</v>
      </c>
      <c r="E117" s="169">
        <v>0</v>
      </c>
      <c r="F117" s="169">
        <v>0</v>
      </c>
      <c r="G117" s="169">
        <v>0</v>
      </c>
      <c r="H117" s="169">
        <v>0</v>
      </c>
      <c r="I117" s="169">
        <v>0</v>
      </c>
      <c r="J117" s="169">
        <v>0</v>
      </c>
      <c r="K117" s="169">
        <v>0.2</v>
      </c>
      <c r="L117" s="169">
        <v>0.2</v>
      </c>
      <c r="M117" s="169">
        <v>0.2</v>
      </c>
    </row>
    <row r="118" spans="1:13" x14ac:dyDescent="0.3">
      <c r="A118" s="167" t="s">
        <v>290</v>
      </c>
      <c r="B118" s="208" t="s">
        <v>291</v>
      </c>
      <c r="C118" s="169">
        <v>1</v>
      </c>
      <c r="D118" s="169">
        <v>1</v>
      </c>
      <c r="E118" s="169">
        <v>1</v>
      </c>
      <c r="F118" s="169">
        <v>1</v>
      </c>
      <c r="G118" s="169">
        <v>1</v>
      </c>
      <c r="H118" s="169">
        <v>1</v>
      </c>
      <c r="I118" s="169">
        <v>1</v>
      </c>
      <c r="J118" s="169">
        <v>1</v>
      </c>
      <c r="K118" s="169">
        <v>1</v>
      </c>
      <c r="L118" s="169">
        <v>1</v>
      </c>
      <c r="M118" s="169">
        <v>1</v>
      </c>
    </row>
    <row r="119" spans="1:13" x14ac:dyDescent="0.3">
      <c r="A119" s="167" t="s">
        <v>292</v>
      </c>
      <c r="B119" s="208" t="s">
        <v>293</v>
      </c>
      <c r="C119" s="169">
        <v>1</v>
      </c>
      <c r="D119" s="169">
        <v>1</v>
      </c>
      <c r="E119" s="169">
        <v>1</v>
      </c>
      <c r="F119" s="169">
        <v>1</v>
      </c>
      <c r="G119" s="169">
        <v>1.3</v>
      </c>
      <c r="H119" s="169">
        <v>1</v>
      </c>
      <c r="I119" s="169">
        <v>1.3</v>
      </c>
      <c r="J119" s="169">
        <v>1</v>
      </c>
      <c r="K119" s="169">
        <v>1.3</v>
      </c>
      <c r="L119" s="169">
        <v>1</v>
      </c>
      <c r="M119" s="169">
        <v>1</v>
      </c>
    </row>
    <row r="120" spans="1:13" x14ac:dyDescent="0.3">
      <c r="A120" s="167" t="s">
        <v>294</v>
      </c>
      <c r="B120" s="208" t="s">
        <v>295</v>
      </c>
      <c r="C120" s="169">
        <v>15</v>
      </c>
      <c r="D120" s="169">
        <v>15</v>
      </c>
      <c r="E120" s="169">
        <v>15</v>
      </c>
      <c r="F120" s="169">
        <v>15</v>
      </c>
      <c r="G120" s="169">
        <v>20</v>
      </c>
      <c r="H120" s="169">
        <v>14</v>
      </c>
      <c r="I120" s="169">
        <v>20</v>
      </c>
      <c r="J120" s="169">
        <v>14</v>
      </c>
      <c r="K120" s="169">
        <v>20</v>
      </c>
      <c r="L120" s="169">
        <v>14</v>
      </c>
      <c r="M120" s="169">
        <v>12</v>
      </c>
    </row>
    <row r="121" spans="1:13" x14ac:dyDescent="0.3">
      <c r="A121" s="167" t="s">
        <v>296</v>
      </c>
      <c r="B121" s="208" t="s">
        <v>297</v>
      </c>
      <c r="C121" s="169">
        <v>180</v>
      </c>
      <c r="D121" s="169">
        <v>180</v>
      </c>
      <c r="E121" s="169">
        <v>180</v>
      </c>
      <c r="F121" s="169">
        <v>180</v>
      </c>
      <c r="G121" s="169">
        <v>180</v>
      </c>
      <c r="H121" s="169">
        <v>180</v>
      </c>
      <c r="I121" s="169">
        <v>180</v>
      </c>
      <c r="J121" s="169">
        <v>180</v>
      </c>
      <c r="K121" s="169">
        <v>180</v>
      </c>
      <c r="L121" s="169">
        <v>180</v>
      </c>
      <c r="M121" s="169">
        <v>180</v>
      </c>
    </row>
    <row r="122" spans="1:13" x14ac:dyDescent="0.3">
      <c r="A122" s="167" t="s">
        <v>298</v>
      </c>
      <c r="B122" s="208" t="s">
        <v>299</v>
      </c>
      <c r="C122" s="169">
        <v>2E-3</v>
      </c>
      <c r="D122" s="169">
        <v>2E-3</v>
      </c>
      <c r="E122" s="169">
        <v>2E-3</v>
      </c>
      <c r="F122" s="169">
        <v>2E-3</v>
      </c>
      <c r="G122" s="169">
        <v>2E-3</v>
      </c>
      <c r="H122" s="169">
        <v>2E-3</v>
      </c>
      <c r="I122" s="169">
        <v>2E-3</v>
      </c>
      <c r="J122" s="169">
        <v>2E-3</v>
      </c>
      <c r="K122" s="169">
        <v>2E-3</v>
      </c>
      <c r="L122" s="169">
        <v>2E-3</v>
      </c>
      <c r="M122" s="169">
        <v>2E-3</v>
      </c>
    </row>
  </sheetData>
  <mergeCells count="15">
    <mergeCell ref="A113:M113"/>
    <mergeCell ref="A42:M42"/>
    <mergeCell ref="A103:M103"/>
    <mergeCell ref="A74:M74"/>
    <mergeCell ref="A34:M34"/>
    <mergeCell ref="A3:M3"/>
    <mergeCell ref="A83:M83"/>
    <mergeCell ref="A38:M38"/>
    <mergeCell ref="A11:M11"/>
    <mergeCell ref="A19:M19"/>
    <mergeCell ref="A1:M1"/>
    <mergeCell ref="A80:M80"/>
    <mergeCell ref="A93:M93"/>
    <mergeCell ref="A27:M27"/>
    <mergeCell ref="A89:M8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"/>
  <sheetViews>
    <sheetView workbookViewId="0"/>
  </sheetViews>
  <sheetFormatPr defaultRowHeight="14.4" x14ac:dyDescent="0.3"/>
  <cols>
    <col min="1" max="1" width="40" customWidth="1"/>
    <col min="2" max="2" width="28" customWidth="1"/>
    <col min="3" max="3" width="35" customWidth="1"/>
    <col min="4" max="9" width="10" customWidth="1"/>
  </cols>
  <sheetData>
    <row r="1" spans="1:10" x14ac:dyDescent="0.3">
      <c r="A1" s="268" t="s">
        <v>300</v>
      </c>
      <c r="B1" s="259"/>
      <c r="C1" s="259"/>
      <c r="D1" s="259"/>
      <c r="E1" s="259"/>
      <c r="F1" s="259"/>
      <c r="G1" s="259"/>
      <c r="H1" s="259"/>
      <c r="I1" s="259"/>
      <c r="J1" s="259"/>
    </row>
    <row r="2" spans="1:10" x14ac:dyDescent="0.3">
      <c r="A2" s="272" t="s">
        <v>301</v>
      </c>
      <c r="B2" s="259"/>
      <c r="C2" s="259"/>
      <c r="D2" s="259"/>
      <c r="E2" s="259"/>
      <c r="F2" s="259"/>
      <c r="G2" s="259"/>
      <c r="H2" s="259"/>
      <c r="I2" s="259"/>
      <c r="J2" s="259"/>
    </row>
    <row r="4" spans="1:10" x14ac:dyDescent="0.3">
      <c r="A4" s="165" t="s">
        <v>302</v>
      </c>
      <c r="B4" s="165" t="s">
        <v>303</v>
      </c>
      <c r="C4" s="165" t="s">
        <v>304</v>
      </c>
      <c r="D4" s="191" t="s">
        <v>305</v>
      </c>
      <c r="E4" s="191" t="s">
        <v>306</v>
      </c>
      <c r="F4" s="191" t="s">
        <v>307</v>
      </c>
      <c r="G4" s="191" t="s">
        <v>308</v>
      </c>
      <c r="H4" s="191" t="s">
        <v>309</v>
      </c>
      <c r="I4" s="191" t="s">
        <v>310</v>
      </c>
    </row>
    <row r="5" spans="1:10" x14ac:dyDescent="0.3">
      <c r="A5" s="261" t="s">
        <v>311</v>
      </c>
      <c r="B5" s="259"/>
      <c r="C5" s="259"/>
      <c r="D5" s="259"/>
      <c r="E5" s="259"/>
      <c r="F5" s="259"/>
      <c r="G5" s="259"/>
      <c r="H5" s="259"/>
      <c r="I5" s="259"/>
      <c r="J5" s="259"/>
    </row>
    <row r="6" spans="1:10" x14ac:dyDescent="0.3">
      <c r="A6" s="188" t="s">
        <v>312</v>
      </c>
      <c r="B6" s="192" t="s">
        <v>313</v>
      </c>
      <c r="C6" s="193" t="s">
        <v>314</v>
      </c>
      <c r="D6" s="182">
        <v>45.4</v>
      </c>
      <c r="E6" s="182">
        <v>44.6</v>
      </c>
      <c r="F6" s="182">
        <v>45.2</v>
      </c>
      <c r="G6" s="182">
        <v>44.8</v>
      </c>
      <c r="H6" s="182">
        <v>45.1</v>
      </c>
      <c r="I6" s="182">
        <v>44.9</v>
      </c>
    </row>
    <row r="7" spans="1:10" x14ac:dyDescent="0.3">
      <c r="A7" s="264" t="s">
        <v>315</v>
      </c>
      <c r="B7" s="259"/>
      <c r="C7" s="259"/>
      <c r="D7" s="259"/>
      <c r="E7" s="259"/>
      <c r="F7" s="259"/>
      <c r="G7" s="259"/>
      <c r="H7" s="259"/>
      <c r="I7" s="259"/>
      <c r="J7" s="259"/>
    </row>
    <row r="8" spans="1:10" x14ac:dyDescent="0.3">
      <c r="A8" s="188" t="s">
        <v>316</v>
      </c>
      <c r="B8" s="192" t="s">
        <v>313</v>
      </c>
      <c r="C8" s="193" t="s">
        <v>317</v>
      </c>
      <c r="D8" s="182">
        <v>98</v>
      </c>
      <c r="E8" s="182">
        <v>101.5</v>
      </c>
      <c r="F8" s="182">
        <v>100.2</v>
      </c>
      <c r="G8" s="182">
        <v>97.8</v>
      </c>
      <c r="H8" s="182">
        <v>98.5</v>
      </c>
      <c r="I8" s="182">
        <v>97.9</v>
      </c>
    </row>
    <row r="9" spans="1:10" x14ac:dyDescent="0.3">
      <c r="A9" s="264" t="s">
        <v>318</v>
      </c>
      <c r="B9" s="259"/>
      <c r="C9" s="259"/>
      <c r="D9" s="259"/>
      <c r="E9" s="259"/>
      <c r="F9" s="259"/>
      <c r="G9" s="259"/>
      <c r="H9" s="259"/>
      <c r="I9" s="259"/>
      <c r="J9" s="259"/>
    </row>
    <row r="10" spans="1:10" x14ac:dyDescent="0.3">
      <c r="A10" s="188" t="s">
        <v>319</v>
      </c>
      <c r="B10" s="192" t="s">
        <v>320</v>
      </c>
      <c r="C10" s="193" t="s">
        <v>321</v>
      </c>
      <c r="D10" s="182">
        <v>920</v>
      </c>
      <c r="E10" s="182">
        <v>870</v>
      </c>
      <c r="F10" s="182">
        <v>940</v>
      </c>
      <c r="G10" s="182">
        <v>1010</v>
      </c>
      <c r="H10" s="182">
        <v>1020</v>
      </c>
      <c r="I10" s="182">
        <v>1040</v>
      </c>
    </row>
    <row r="11" spans="1:10" x14ac:dyDescent="0.3">
      <c r="A11" s="264" t="s">
        <v>322</v>
      </c>
      <c r="B11" s="259"/>
      <c r="C11" s="259"/>
      <c r="D11" s="259"/>
      <c r="E11" s="259"/>
      <c r="F11" s="259"/>
      <c r="G11" s="259"/>
      <c r="H11" s="259"/>
      <c r="I11" s="259"/>
      <c r="J11" s="259"/>
    </row>
    <row r="12" spans="1:10" x14ac:dyDescent="0.3">
      <c r="A12" s="188" t="s">
        <v>323</v>
      </c>
      <c r="B12" s="192" t="s">
        <v>324</v>
      </c>
      <c r="C12" s="193" t="s">
        <v>325</v>
      </c>
      <c r="D12" s="182">
        <v>510</v>
      </c>
      <c r="E12" s="182">
        <v>520</v>
      </c>
      <c r="F12" s="182">
        <v>600</v>
      </c>
      <c r="G12" s="182">
        <v>650</v>
      </c>
      <c r="H12" s="182">
        <v>680</v>
      </c>
      <c r="I12" s="182">
        <v>710</v>
      </c>
    </row>
    <row r="13" spans="1:10" x14ac:dyDescent="0.3">
      <c r="A13" s="264" t="s">
        <v>326</v>
      </c>
      <c r="B13" s="259"/>
      <c r="C13" s="259"/>
      <c r="D13" s="259"/>
      <c r="E13" s="259"/>
      <c r="F13" s="259"/>
      <c r="G13" s="259"/>
      <c r="H13" s="259"/>
      <c r="I13" s="259"/>
      <c r="J13" s="259"/>
    </row>
    <row r="14" spans="1:10" x14ac:dyDescent="0.3">
      <c r="A14" s="188" t="s">
        <v>327</v>
      </c>
      <c r="B14" s="192" t="s">
        <v>328</v>
      </c>
      <c r="C14" s="193" t="s">
        <v>329</v>
      </c>
      <c r="D14" s="182">
        <v>680</v>
      </c>
      <c r="E14" s="182">
        <v>710</v>
      </c>
      <c r="F14" s="182">
        <v>820</v>
      </c>
      <c r="G14" s="182">
        <v>890</v>
      </c>
      <c r="H14" s="182">
        <v>880</v>
      </c>
      <c r="I14" s="182">
        <v>920</v>
      </c>
    </row>
    <row r="15" spans="1:10" x14ac:dyDescent="0.3">
      <c r="A15" s="264" t="s">
        <v>330</v>
      </c>
      <c r="B15" s="259"/>
      <c r="C15" s="259"/>
      <c r="D15" s="259"/>
      <c r="E15" s="259"/>
      <c r="F15" s="259"/>
      <c r="G15" s="259"/>
      <c r="H15" s="259"/>
      <c r="I15" s="259"/>
      <c r="J15" s="259"/>
    </row>
    <row r="17" spans="1:10" x14ac:dyDescent="0.3">
      <c r="A17" s="261" t="s">
        <v>331</v>
      </c>
      <c r="B17" s="259"/>
      <c r="C17" s="259"/>
      <c r="D17" s="259"/>
      <c r="E17" s="259"/>
      <c r="F17" s="259"/>
      <c r="G17" s="259"/>
      <c r="H17" s="259"/>
      <c r="I17" s="259"/>
      <c r="J17" s="259"/>
    </row>
    <row r="18" spans="1:10" x14ac:dyDescent="0.3">
      <c r="A18" s="175" t="s">
        <v>332</v>
      </c>
      <c r="B18" s="194" t="s">
        <v>333</v>
      </c>
      <c r="C18" s="195" t="s">
        <v>334</v>
      </c>
      <c r="D18" s="174">
        <v>73</v>
      </c>
      <c r="E18" s="174">
        <v>68</v>
      </c>
      <c r="F18" s="174">
        <v>75</v>
      </c>
      <c r="G18" s="174">
        <v>104</v>
      </c>
      <c r="H18" s="174">
        <v>157</v>
      </c>
      <c r="I18" s="174">
        <v>235</v>
      </c>
    </row>
    <row r="19" spans="1:10" x14ac:dyDescent="0.3">
      <c r="A19" s="264" t="s">
        <v>335</v>
      </c>
      <c r="B19" s="259"/>
      <c r="C19" s="259"/>
      <c r="D19" s="259"/>
      <c r="E19" s="259"/>
      <c r="F19" s="259"/>
      <c r="G19" s="259"/>
      <c r="H19" s="259"/>
      <c r="I19" s="259"/>
      <c r="J19" s="259"/>
    </row>
    <row r="20" spans="1:10" x14ac:dyDescent="0.3">
      <c r="A20" s="175" t="s">
        <v>336</v>
      </c>
      <c r="B20" s="194" t="s">
        <v>337</v>
      </c>
      <c r="C20" s="195" t="s">
        <v>338</v>
      </c>
      <c r="D20" s="174">
        <v>3.4</v>
      </c>
      <c r="E20" s="174">
        <v>3.3</v>
      </c>
      <c r="F20" s="174">
        <v>3.1</v>
      </c>
      <c r="G20" s="174">
        <v>4.0999999999999996</v>
      </c>
      <c r="H20" s="174">
        <v>5.4</v>
      </c>
      <c r="I20" s="174">
        <v>6.8</v>
      </c>
    </row>
    <row r="21" spans="1:10" x14ac:dyDescent="0.3">
      <c r="A21" s="264" t="s">
        <v>339</v>
      </c>
      <c r="B21" s="259"/>
      <c r="C21" s="259"/>
      <c r="D21" s="259"/>
      <c r="E21" s="259"/>
      <c r="F21" s="259"/>
      <c r="G21" s="259"/>
      <c r="H21" s="259"/>
      <c r="I21" s="259"/>
      <c r="J21" s="259"/>
    </row>
    <row r="22" spans="1:10" x14ac:dyDescent="0.3">
      <c r="A22" s="175" t="s">
        <v>340</v>
      </c>
      <c r="B22" s="194" t="s">
        <v>341</v>
      </c>
      <c r="C22" s="195" t="s">
        <v>342</v>
      </c>
      <c r="D22" s="174">
        <v>30</v>
      </c>
      <c r="E22" s="174">
        <v>30.5</v>
      </c>
      <c r="F22" s="174">
        <v>31</v>
      </c>
      <c r="G22" s="174">
        <v>31</v>
      </c>
      <c r="H22" s="174">
        <v>31.3</v>
      </c>
      <c r="I22" s="174">
        <v>32</v>
      </c>
    </row>
    <row r="23" spans="1:10" x14ac:dyDescent="0.3">
      <c r="A23" s="264" t="s">
        <v>343</v>
      </c>
      <c r="B23" s="259"/>
      <c r="C23" s="259"/>
      <c r="D23" s="259"/>
      <c r="E23" s="259"/>
      <c r="F23" s="259"/>
      <c r="G23" s="259"/>
      <c r="H23" s="259"/>
      <c r="I23" s="259"/>
      <c r="J23" s="259"/>
    </row>
    <row r="25" spans="1:10" x14ac:dyDescent="0.3">
      <c r="A25" s="261" t="s">
        <v>344</v>
      </c>
      <c r="B25" s="259"/>
      <c r="C25" s="259"/>
      <c r="D25" s="259"/>
      <c r="E25" s="259"/>
      <c r="F25" s="259"/>
      <c r="G25" s="259"/>
      <c r="H25" s="259"/>
      <c r="I25" s="259"/>
      <c r="J25" s="259"/>
    </row>
    <row r="26" spans="1:10" x14ac:dyDescent="0.3">
      <c r="A26" s="189" t="s">
        <v>345</v>
      </c>
      <c r="B26" s="196" t="s">
        <v>346</v>
      </c>
      <c r="C26" s="197" t="s">
        <v>347</v>
      </c>
      <c r="D26" s="185">
        <v>23.2</v>
      </c>
      <c r="E26" s="185">
        <v>27.6</v>
      </c>
      <c r="F26" s="185">
        <v>28.8</v>
      </c>
      <c r="G26" s="185">
        <v>24.1</v>
      </c>
      <c r="H26" s="185">
        <v>29.5</v>
      </c>
      <c r="I26" s="185">
        <v>34</v>
      </c>
    </row>
    <row r="27" spans="1:10" x14ac:dyDescent="0.3">
      <c r="A27" s="264" t="s">
        <v>348</v>
      </c>
      <c r="B27" s="259"/>
      <c r="C27" s="259"/>
      <c r="D27" s="259"/>
      <c r="E27" s="259"/>
      <c r="F27" s="259"/>
      <c r="G27" s="259"/>
      <c r="H27" s="259"/>
      <c r="I27" s="259"/>
      <c r="J27" s="259"/>
    </row>
    <row r="28" spans="1:10" x14ac:dyDescent="0.3">
      <c r="A28" s="189" t="s">
        <v>349</v>
      </c>
      <c r="B28" s="196" t="s">
        <v>350</v>
      </c>
      <c r="C28" s="197" t="s">
        <v>351</v>
      </c>
      <c r="D28" s="185">
        <v>26</v>
      </c>
      <c r="E28" s="185">
        <v>40</v>
      </c>
      <c r="F28" s="185">
        <v>34</v>
      </c>
      <c r="G28" s="185">
        <v>22</v>
      </c>
      <c r="H28" s="185">
        <v>31</v>
      </c>
      <c r="I28" s="185">
        <v>33</v>
      </c>
    </row>
    <row r="29" spans="1:10" x14ac:dyDescent="0.3">
      <c r="A29" s="264" t="s">
        <v>352</v>
      </c>
      <c r="B29" s="259"/>
      <c r="C29" s="259"/>
      <c r="D29" s="259"/>
      <c r="E29" s="259"/>
      <c r="F29" s="259"/>
      <c r="G29" s="259"/>
      <c r="H29" s="259"/>
      <c r="I29" s="259"/>
      <c r="J29" s="259"/>
    </row>
    <row r="30" spans="1:10" x14ac:dyDescent="0.3">
      <c r="A30" s="189" t="s">
        <v>353</v>
      </c>
      <c r="B30" s="196" t="s">
        <v>354</v>
      </c>
      <c r="C30" s="197" t="s">
        <v>355</v>
      </c>
      <c r="D30" s="185">
        <v>152</v>
      </c>
      <c r="E30" s="185">
        <v>195</v>
      </c>
      <c r="F30" s="185">
        <v>222</v>
      </c>
      <c r="G30" s="185">
        <v>155</v>
      </c>
      <c r="H30" s="185">
        <v>180</v>
      </c>
      <c r="I30" s="185">
        <v>201</v>
      </c>
    </row>
    <row r="31" spans="1:10" x14ac:dyDescent="0.3">
      <c r="A31" s="264" t="s">
        <v>356</v>
      </c>
      <c r="B31" s="259"/>
      <c r="C31" s="259"/>
      <c r="D31" s="259"/>
      <c r="E31" s="259"/>
      <c r="F31" s="259"/>
      <c r="G31" s="259"/>
      <c r="H31" s="259"/>
      <c r="I31" s="259"/>
      <c r="J31" s="259"/>
    </row>
    <row r="33" spans="1:10" x14ac:dyDescent="0.3">
      <c r="A33" s="261" t="s">
        <v>357</v>
      </c>
      <c r="B33" s="259"/>
      <c r="C33" s="259"/>
      <c r="D33" s="259"/>
      <c r="E33" s="259"/>
      <c r="F33" s="259"/>
      <c r="G33" s="259"/>
      <c r="H33" s="259"/>
      <c r="I33" s="259"/>
      <c r="J33" s="259"/>
    </row>
    <row r="34" spans="1:10" x14ac:dyDescent="0.3">
      <c r="A34" s="179" t="s">
        <v>358</v>
      </c>
      <c r="B34" s="198" t="s">
        <v>359</v>
      </c>
      <c r="C34" s="199" t="s">
        <v>360</v>
      </c>
      <c r="D34" s="178">
        <v>7.5</v>
      </c>
      <c r="E34" s="178">
        <v>8.1</v>
      </c>
      <c r="F34" s="178">
        <v>8.4</v>
      </c>
      <c r="G34" s="178">
        <v>8.1</v>
      </c>
      <c r="H34" s="178">
        <v>8.3000000000000007</v>
      </c>
      <c r="I34" s="178">
        <v>8.5</v>
      </c>
    </row>
    <row r="35" spans="1:10" x14ac:dyDescent="0.3">
      <c r="A35" s="264" t="s">
        <v>361</v>
      </c>
      <c r="B35" s="259"/>
      <c r="C35" s="259"/>
      <c r="D35" s="259"/>
      <c r="E35" s="259"/>
      <c r="F35" s="259"/>
      <c r="G35" s="259"/>
      <c r="H35" s="259"/>
      <c r="I35" s="259"/>
      <c r="J35" s="259"/>
    </row>
    <row r="36" spans="1:10" x14ac:dyDescent="0.3">
      <c r="A36" s="179" t="s">
        <v>362</v>
      </c>
      <c r="B36" s="198" t="s">
        <v>363</v>
      </c>
      <c r="C36" s="199" t="s">
        <v>364</v>
      </c>
      <c r="D36" s="178">
        <v>430</v>
      </c>
      <c r="E36" s="178">
        <v>490</v>
      </c>
      <c r="F36" s="178">
        <v>510</v>
      </c>
      <c r="G36" s="178">
        <v>450</v>
      </c>
      <c r="H36" s="178">
        <v>470</v>
      </c>
      <c r="I36" s="178">
        <v>490</v>
      </c>
    </row>
    <row r="37" spans="1:10" x14ac:dyDescent="0.3">
      <c r="A37" s="264" t="s">
        <v>365</v>
      </c>
      <c r="B37" s="259"/>
      <c r="C37" s="259"/>
      <c r="D37" s="259"/>
      <c r="E37" s="259"/>
      <c r="F37" s="259"/>
      <c r="G37" s="259"/>
      <c r="H37" s="259"/>
      <c r="I37" s="259"/>
      <c r="J37" s="259"/>
    </row>
    <row r="39" spans="1:10" x14ac:dyDescent="0.3">
      <c r="A39" s="261" t="s">
        <v>366</v>
      </c>
      <c r="B39" s="259"/>
      <c r="C39" s="259"/>
      <c r="D39" s="259"/>
      <c r="E39" s="259"/>
      <c r="F39" s="259"/>
      <c r="G39" s="259"/>
      <c r="H39" s="259"/>
      <c r="I39" s="259"/>
      <c r="J39" s="259"/>
    </row>
    <row r="40" spans="1:10" x14ac:dyDescent="0.3">
      <c r="A40" s="200" t="s">
        <v>367</v>
      </c>
      <c r="B40" s="201" t="s">
        <v>368</v>
      </c>
      <c r="C40" s="202" t="s">
        <v>369</v>
      </c>
      <c r="D40" s="203">
        <v>118.7</v>
      </c>
      <c r="E40" s="203">
        <v>130.19999999999999</v>
      </c>
      <c r="F40" s="203">
        <v>150.30000000000001</v>
      </c>
      <c r="G40" s="203">
        <v>138.4</v>
      </c>
      <c r="H40" s="203">
        <v>151</v>
      </c>
      <c r="I40" s="203">
        <v>169.4</v>
      </c>
    </row>
    <row r="41" spans="1:10" x14ac:dyDescent="0.3">
      <c r="A41" s="264" t="s">
        <v>370</v>
      </c>
      <c r="B41" s="259"/>
      <c r="C41" s="259"/>
      <c r="D41" s="259"/>
      <c r="E41" s="259"/>
      <c r="F41" s="259"/>
      <c r="G41" s="259"/>
      <c r="H41" s="259"/>
      <c r="I41" s="259"/>
      <c r="J41" s="259"/>
    </row>
    <row r="42" spans="1:10" x14ac:dyDescent="0.3">
      <c r="A42" s="200" t="s">
        <v>371</v>
      </c>
      <c r="B42" s="201" t="s">
        <v>372</v>
      </c>
      <c r="C42" s="202" t="s">
        <v>373</v>
      </c>
      <c r="D42" s="203">
        <v>10.7</v>
      </c>
      <c r="E42" s="203">
        <v>10.9</v>
      </c>
      <c r="F42" s="203">
        <v>11.5</v>
      </c>
      <c r="G42" s="203">
        <v>12.3</v>
      </c>
      <c r="H42" s="203">
        <v>12.8</v>
      </c>
      <c r="I42" s="203">
        <v>13.1</v>
      </c>
    </row>
    <row r="43" spans="1:10" x14ac:dyDescent="0.3">
      <c r="A43" s="264" t="s">
        <v>374</v>
      </c>
      <c r="B43" s="259"/>
      <c r="C43" s="259"/>
      <c r="D43" s="259"/>
      <c r="E43" s="259"/>
      <c r="F43" s="259"/>
      <c r="G43" s="259"/>
      <c r="H43" s="259"/>
      <c r="I43" s="259"/>
      <c r="J43" s="259"/>
    </row>
    <row r="44" spans="1:10" x14ac:dyDescent="0.3">
      <c r="A44" s="200" t="s">
        <v>375</v>
      </c>
      <c r="B44" s="201" t="s">
        <v>376</v>
      </c>
      <c r="C44" s="202" t="s">
        <v>377</v>
      </c>
      <c r="D44" s="203">
        <v>95</v>
      </c>
      <c r="E44" s="203">
        <v>97</v>
      </c>
      <c r="F44" s="203">
        <v>90</v>
      </c>
      <c r="G44" s="203">
        <v>93</v>
      </c>
      <c r="H44" s="203">
        <v>97</v>
      </c>
      <c r="I44" s="203">
        <v>99</v>
      </c>
    </row>
    <row r="45" spans="1:10" x14ac:dyDescent="0.3">
      <c r="A45" s="264" t="s">
        <v>378</v>
      </c>
      <c r="B45" s="259"/>
      <c r="C45" s="259"/>
      <c r="D45" s="259"/>
      <c r="E45" s="259"/>
      <c r="F45" s="259"/>
      <c r="G45" s="259"/>
      <c r="H45" s="259"/>
      <c r="I45" s="259"/>
      <c r="J45" s="259"/>
    </row>
    <row r="47" spans="1:10" x14ac:dyDescent="0.3">
      <c r="A47" s="261" t="s">
        <v>379</v>
      </c>
      <c r="B47" s="259"/>
      <c r="C47" s="259"/>
      <c r="D47" s="259"/>
      <c r="E47" s="259"/>
      <c r="F47" s="259"/>
      <c r="G47" s="259"/>
      <c r="H47" s="259"/>
      <c r="I47" s="259"/>
      <c r="J47" s="259"/>
    </row>
    <row r="48" spans="1:10" x14ac:dyDescent="0.3">
      <c r="A48" s="188" t="s">
        <v>380</v>
      </c>
      <c r="B48" s="192" t="s">
        <v>381</v>
      </c>
      <c r="C48" s="193" t="s">
        <v>382</v>
      </c>
      <c r="D48" s="182">
        <v>1.7</v>
      </c>
      <c r="E48" s="182">
        <v>3.2</v>
      </c>
      <c r="F48" s="182">
        <v>4.0999999999999996</v>
      </c>
      <c r="G48" s="182">
        <v>3.1</v>
      </c>
      <c r="H48" s="182">
        <v>3.3</v>
      </c>
      <c r="I48" s="182">
        <v>3.3</v>
      </c>
    </row>
    <row r="49" spans="1:10" x14ac:dyDescent="0.3">
      <c r="A49" s="264" t="s">
        <v>383</v>
      </c>
      <c r="B49" s="259"/>
      <c r="C49" s="259"/>
      <c r="D49" s="259"/>
      <c r="E49" s="259"/>
      <c r="F49" s="259"/>
      <c r="G49" s="259"/>
      <c r="H49" s="259"/>
      <c r="I49" s="259"/>
      <c r="J49" s="259"/>
    </row>
    <row r="50" spans="1:10" x14ac:dyDescent="0.3">
      <c r="A50" s="188" t="s">
        <v>384</v>
      </c>
      <c r="B50" s="192" t="s">
        <v>385</v>
      </c>
      <c r="C50" s="193" t="s">
        <v>386</v>
      </c>
      <c r="D50" s="182">
        <v>0.9</v>
      </c>
      <c r="E50" s="182">
        <v>1.1000000000000001</v>
      </c>
      <c r="F50" s="182">
        <v>1.4</v>
      </c>
      <c r="G50" s="182">
        <v>1.6</v>
      </c>
      <c r="H50" s="182">
        <v>2</v>
      </c>
      <c r="I50" s="182">
        <v>2.2000000000000002</v>
      </c>
    </row>
    <row r="51" spans="1:10" x14ac:dyDescent="0.3">
      <c r="A51" s="264" t="s">
        <v>387</v>
      </c>
      <c r="B51" s="259"/>
      <c r="C51" s="259"/>
      <c r="D51" s="259"/>
      <c r="E51" s="259"/>
      <c r="F51" s="259"/>
      <c r="G51" s="259"/>
      <c r="H51" s="259"/>
      <c r="I51" s="259"/>
      <c r="J51" s="259"/>
    </row>
    <row r="52" spans="1:10" x14ac:dyDescent="0.3">
      <c r="A52" s="188" t="s">
        <v>388</v>
      </c>
      <c r="B52" s="192" t="s">
        <v>389</v>
      </c>
      <c r="C52" s="193" t="s">
        <v>390</v>
      </c>
      <c r="D52" s="182">
        <v>11.2</v>
      </c>
      <c r="E52" s="182">
        <v>10.8</v>
      </c>
      <c r="F52" s="182">
        <v>9.9</v>
      </c>
      <c r="G52" s="182">
        <v>11.1</v>
      </c>
      <c r="H52" s="182">
        <v>10.8</v>
      </c>
      <c r="I52" s="182">
        <v>10.5</v>
      </c>
    </row>
    <row r="53" spans="1:10" x14ac:dyDescent="0.3">
      <c r="A53" s="264" t="s">
        <v>391</v>
      </c>
      <c r="B53" s="259"/>
      <c r="C53" s="259"/>
      <c r="D53" s="259"/>
      <c r="E53" s="259"/>
      <c r="F53" s="259"/>
      <c r="G53" s="259"/>
      <c r="H53" s="259"/>
      <c r="I53" s="259"/>
      <c r="J53" s="259"/>
    </row>
    <row r="55" spans="1:10" x14ac:dyDescent="0.3">
      <c r="A55" s="261" t="s">
        <v>392</v>
      </c>
      <c r="B55" s="259"/>
      <c r="C55" s="259"/>
      <c r="D55" s="259"/>
      <c r="E55" s="259"/>
      <c r="F55" s="259"/>
      <c r="G55" s="259"/>
      <c r="H55" s="259"/>
      <c r="I55" s="259"/>
      <c r="J55" s="259"/>
    </row>
    <row r="56" spans="1:10" x14ac:dyDescent="0.3">
      <c r="A56" s="188" t="s">
        <v>393</v>
      </c>
      <c r="B56" s="271" t="s">
        <v>394</v>
      </c>
      <c r="C56" s="259"/>
      <c r="D56" s="259"/>
      <c r="E56" s="259"/>
      <c r="F56" s="259"/>
      <c r="G56" s="259"/>
      <c r="H56" s="259"/>
      <c r="I56" s="259"/>
      <c r="J56" s="259"/>
    </row>
    <row r="57" spans="1:10" x14ac:dyDescent="0.3">
      <c r="A57" s="189" t="s">
        <v>393</v>
      </c>
      <c r="B57" s="267" t="s">
        <v>395</v>
      </c>
      <c r="C57" s="259"/>
      <c r="D57" s="259"/>
      <c r="E57" s="259"/>
      <c r="F57" s="259"/>
      <c r="G57" s="259"/>
      <c r="H57" s="259"/>
      <c r="I57" s="259"/>
      <c r="J57" s="259"/>
    </row>
    <row r="58" spans="1:10" x14ac:dyDescent="0.3">
      <c r="A58" s="188" t="s">
        <v>393</v>
      </c>
      <c r="B58" s="271" t="s">
        <v>396</v>
      </c>
      <c r="C58" s="259"/>
      <c r="D58" s="259"/>
      <c r="E58" s="259"/>
      <c r="F58" s="259"/>
      <c r="G58" s="259"/>
      <c r="H58" s="259"/>
      <c r="I58" s="259"/>
      <c r="J58" s="259"/>
    </row>
    <row r="59" spans="1:10" x14ac:dyDescent="0.3">
      <c r="A59" s="200" t="s">
        <v>393</v>
      </c>
      <c r="B59" s="270" t="s">
        <v>397</v>
      </c>
      <c r="C59" s="259"/>
      <c r="D59" s="259"/>
      <c r="E59" s="259"/>
      <c r="F59" s="259"/>
      <c r="G59" s="259"/>
      <c r="H59" s="259"/>
      <c r="I59" s="259"/>
      <c r="J59" s="259"/>
    </row>
    <row r="60" spans="1:10" x14ac:dyDescent="0.3">
      <c r="A60" s="175" t="s">
        <v>398</v>
      </c>
      <c r="B60" s="266" t="s">
        <v>399</v>
      </c>
      <c r="C60" s="259"/>
      <c r="D60" s="259"/>
      <c r="E60" s="259"/>
      <c r="F60" s="259"/>
      <c r="G60" s="259"/>
      <c r="H60" s="259"/>
      <c r="I60" s="259"/>
      <c r="J60" s="259"/>
    </row>
    <row r="61" spans="1:10" x14ac:dyDescent="0.3">
      <c r="A61" s="179" t="s">
        <v>398</v>
      </c>
      <c r="B61" s="265" t="s">
        <v>400</v>
      </c>
      <c r="C61" s="259"/>
      <c r="D61" s="259"/>
      <c r="E61" s="259"/>
      <c r="F61" s="259"/>
      <c r="G61" s="259"/>
      <c r="H61" s="259"/>
      <c r="I61" s="259"/>
      <c r="J61" s="259"/>
    </row>
    <row r="62" spans="1:10" x14ac:dyDescent="0.3">
      <c r="A62" s="165" t="s">
        <v>401</v>
      </c>
      <c r="B62" s="269" t="s">
        <v>402</v>
      </c>
      <c r="C62" s="259"/>
      <c r="D62" s="259"/>
      <c r="E62" s="259"/>
      <c r="F62" s="259"/>
      <c r="G62" s="259"/>
      <c r="H62" s="259"/>
      <c r="I62" s="259"/>
      <c r="J62" s="259"/>
    </row>
  </sheetData>
  <mergeCells count="35">
    <mergeCell ref="B62:J62"/>
    <mergeCell ref="A37:J37"/>
    <mergeCell ref="B59:J59"/>
    <mergeCell ref="A27:J27"/>
    <mergeCell ref="A21:J21"/>
    <mergeCell ref="A55:J55"/>
    <mergeCell ref="B56:J56"/>
    <mergeCell ref="B58:J58"/>
    <mergeCell ref="A33:J33"/>
    <mergeCell ref="A15:J15"/>
    <mergeCell ref="A11:J11"/>
    <mergeCell ref="A49:J49"/>
    <mergeCell ref="A51:J51"/>
    <mergeCell ref="A1:J1"/>
    <mergeCell ref="A45:J45"/>
    <mergeCell ref="A7:J7"/>
    <mergeCell ref="A25:J25"/>
    <mergeCell ref="A41:J41"/>
    <mergeCell ref="A2:J2"/>
    <mergeCell ref="A47:J47"/>
    <mergeCell ref="A5:J5"/>
    <mergeCell ref="A23:J23"/>
    <mergeCell ref="B61:J61"/>
    <mergeCell ref="A17:J17"/>
    <mergeCell ref="B60:J60"/>
    <mergeCell ref="A53:J53"/>
    <mergeCell ref="A29:J29"/>
    <mergeCell ref="A35:J35"/>
    <mergeCell ref="B57:J57"/>
    <mergeCell ref="A43:J43"/>
    <mergeCell ref="A19:J19"/>
    <mergeCell ref="A13:J13"/>
    <mergeCell ref="A31:J31"/>
    <mergeCell ref="A9:J9"/>
    <mergeCell ref="A39:J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M25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52" customWidth="1"/>
    <col min="3" max="13" width="9" customWidth="1"/>
  </cols>
  <sheetData>
    <row r="1" spans="1:13" ht="21.75" customHeight="1" x14ac:dyDescent="0.3">
      <c r="A1" s="273" t="s">
        <v>403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ht="27.75" customHeight="1" x14ac:dyDescent="0.3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117</v>
      </c>
      <c r="M2" s="7" t="s">
        <v>118</v>
      </c>
    </row>
    <row r="3" spans="1:13" ht="15" customHeight="1" x14ac:dyDescent="0.3">
      <c r="A3" s="258" t="s">
        <v>404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</row>
    <row r="4" spans="1:13" ht="21.75" customHeight="1" x14ac:dyDescent="0.3">
      <c r="A4" s="24" t="s">
        <v>120</v>
      </c>
      <c r="B4" s="25" t="s">
        <v>405</v>
      </c>
      <c r="C4" s="26">
        <f>ASSUMPTIONS!C4</f>
        <v>300</v>
      </c>
      <c r="D4" s="26">
        <f>ASSUMPTIONS!D4</f>
        <v>310</v>
      </c>
      <c r="E4" s="26">
        <f>ASSUMPTIONS!E4</f>
        <v>325</v>
      </c>
      <c r="F4" s="26">
        <f>ASSUMPTIONS!F4</f>
        <v>340</v>
      </c>
      <c r="G4" s="26">
        <f>ASSUMPTIONS!G4</f>
        <v>330</v>
      </c>
      <c r="H4" s="26">
        <f>ASSUMPTIONS!H4</f>
        <v>345</v>
      </c>
      <c r="I4" s="26">
        <f>ASSUMPTIONS!I4</f>
        <v>365</v>
      </c>
      <c r="J4" s="26">
        <f>ASSUMPTIONS!J4</f>
        <v>380</v>
      </c>
      <c r="K4" s="26">
        <f>ASSUMPTIONS!K4</f>
        <v>400</v>
      </c>
      <c r="L4" s="26">
        <f>ASSUMPTIONS!L4</f>
        <v>415</v>
      </c>
      <c r="M4" s="26">
        <f>ASSUMPTIONS!M4</f>
        <v>400</v>
      </c>
    </row>
    <row r="5" spans="1:13" ht="21.75" customHeight="1" x14ac:dyDescent="0.3">
      <c r="A5" s="24" t="s">
        <v>406</v>
      </c>
      <c r="B5" s="25" t="s">
        <v>407</v>
      </c>
      <c r="C5" s="27">
        <v>200</v>
      </c>
      <c r="D5" s="28">
        <f t="shared" ref="D5:M5" si="0">C5*(1+0.02)</f>
        <v>204</v>
      </c>
      <c r="E5" s="28">
        <f t="shared" si="0"/>
        <v>208.08</v>
      </c>
      <c r="F5" s="28">
        <f t="shared" si="0"/>
        <v>212.24160000000001</v>
      </c>
      <c r="G5" s="28">
        <f t="shared" si="0"/>
        <v>216.48643200000001</v>
      </c>
      <c r="H5" s="28">
        <f t="shared" si="0"/>
        <v>220.81616064000002</v>
      </c>
      <c r="I5" s="28">
        <f t="shared" si="0"/>
        <v>225.23248385280002</v>
      </c>
      <c r="J5" s="28">
        <f t="shared" si="0"/>
        <v>229.73713352985601</v>
      </c>
      <c r="K5" s="28">
        <f t="shared" si="0"/>
        <v>234.33187620045314</v>
      </c>
      <c r="L5" s="28">
        <f t="shared" si="0"/>
        <v>239.0185137244622</v>
      </c>
      <c r="M5" s="28">
        <f t="shared" si="0"/>
        <v>243.79888399895145</v>
      </c>
    </row>
    <row r="6" spans="1:13" ht="15" customHeight="1" x14ac:dyDescent="0.3">
      <c r="A6" s="24" t="s">
        <v>408</v>
      </c>
      <c r="B6" s="29"/>
      <c r="C6" s="27">
        <v>80</v>
      </c>
      <c r="D6" s="28">
        <f t="shared" ref="D6:M6" si="1">C6*1.02</f>
        <v>81.599999999999994</v>
      </c>
      <c r="E6" s="28">
        <f t="shared" si="1"/>
        <v>83.231999999999999</v>
      </c>
      <c r="F6" s="28">
        <f t="shared" si="1"/>
        <v>84.896640000000005</v>
      </c>
      <c r="G6" s="28">
        <f t="shared" si="1"/>
        <v>86.594572800000009</v>
      </c>
      <c r="H6" s="28">
        <f t="shared" si="1"/>
        <v>88.326464256000008</v>
      </c>
      <c r="I6" s="28">
        <f t="shared" si="1"/>
        <v>90.092993541120009</v>
      </c>
      <c r="J6" s="28">
        <f t="shared" si="1"/>
        <v>91.894853411942407</v>
      </c>
      <c r="K6" s="28">
        <f t="shared" si="1"/>
        <v>93.732750480181252</v>
      </c>
      <c r="L6" s="28">
        <f t="shared" si="1"/>
        <v>95.607405489784881</v>
      </c>
      <c r="M6" s="28">
        <f t="shared" si="1"/>
        <v>97.519553599580576</v>
      </c>
    </row>
    <row r="7" spans="1:13" ht="15" customHeight="1" x14ac:dyDescent="0.3">
      <c r="A7" s="30" t="s">
        <v>409</v>
      </c>
      <c r="B7" s="29"/>
      <c r="C7" s="28">
        <f t="shared" ref="C7:M7" si="2">SUM(C4:C6)</f>
        <v>580</v>
      </c>
      <c r="D7" s="28">
        <f t="shared" si="2"/>
        <v>595.6</v>
      </c>
      <c r="E7" s="28">
        <f t="shared" si="2"/>
        <v>616.31200000000001</v>
      </c>
      <c r="F7" s="28">
        <f t="shared" si="2"/>
        <v>637.13824000000011</v>
      </c>
      <c r="G7" s="28">
        <f t="shared" si="2"/>
        <v>633.08100480000007</v>
      </c>
      <c r="H7" s="28">
        <f t="shared" si="2"/>
        <v>654.14262489600003</v>
      </c>
      <c r="I7" s="28">
        <f t="shared" si="2"/>
        <v>680.32547739391998</v>
      </c>
      <c r="J7" s="28">
        <f t="shared" si="2"/>
        <v>701.63198694179846</v>
      </c>
      <c r="K7" s="28">
        <f t="shared" si="2"/>
        <v>728.06462668063443</v>
      </c>
      <c r="L7" s="28">
        <f t="shared" si="2"/>
        <v>749.62591921424712</v>
      </c>
      <c r="M7" s="28">
        <f t="shared" si="2"/>
        <v>741.318437598532</v>
      </c>
    </row>
    <row r="9" spans="1:13" ht="15" customHeight="1" x14ac:dyDescent="0.3">
      <c r="A9" s="258" t="s">
        <v>410</v>
      </c>
      <c r="B9" s="259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</row>
    <row r="10" spans="1:13" ht="21.75" customHeight="1" x14ac:dyDescent="0.3">
      <c r="A10" s="31" t="s">
        <v>411</v>
      </c>
      <c r="B10" s="32" t="s">
        <v>412</v>
      </c>
      <c r="C10" s="236">
        <f>MAX(0,100-MIN(100,MAX(0,(HedgeCo!C4-ASSUMPTIONS!C70)*ASSUMPTIONS!C86*4)))</f>
        <v>100</v>
      </c>
      <c r="D10" s="236">
        <f>MAX(0,100-MIN(100,MAX(0,(HedgeCo!D4-ASSUMPTIONS!C70)*ASSUMPTIONS!C86*4)))</f>
        <v>75.445000000000007</v>
      </c>
      <c r="E10" s="236">
        <f>MAX(0,100-MIN(100,MAX(0,(HedgeCo!E4-ASSUMPTIONS!C70)*ASSUMPTIONS!C86*4)))</f>
        <v>34.049699999999973</v>
      </c>
      <c r="F10" s="236">
        <f>MAX(0,100-MIN(100,MAX(0,(HedgeCo!F4-ASSUMPTIONS!C70)*ASSUMPTIONS!C86*4)))</f>
        <v>0</v>
      </c>
      <c r="G10" s="236">
        <f>MAX(0,100-MIN(100,MAX(0,(HedgeCo!G4-ASSUMPTIONS!C70)*ASSUMPTIONS!C86*4)))</f>
        <v>0</v>
      </c>
      <c r="H10" s="236">
        <f>MAX(0,100-MIN(100,MAX(0,(HedgeCo!H4-ASSUMPTIONS!C70)*ASSUMPTIONS!C86*4)))</f>
        <v>0</v>
      </c>
      <c r="I10" s="236">
        <f>MAX(0,100-MIN(100,MAX(0,(HedgeCo!I4-ASSUMPTIONS!C70)*ASSUMPTIONS!C86*4)))</f>
        <v>0</v>
      </c>
      <c r="J10" s="236">
        <f>MAX(0,100-MIN(100,MAX(0,(HedgeCo!J4-ASSUMPTIONS!C70)*ASSUMPTIONS!C86*4)))</f>
        <v>0</v>
      </c>
      <c r="K10" s="236">
        <f>MAX(0,100-MIN(100,MAX(0,(HedgeCo!K4-ASSUMPTIONS!C70)*ASSUMPTIONS!C86*4)))</f>
        <v>0</v>
      </c>
      <c r="L10" s="236">
        <f>MAX(0,100-MIN(100,MAX(0,(HedgeCo!L4-ASSUMPTIONS!C70)*ASSUMPTIONS!C86*4)))</f>
        <v>0</v>
      </c>
      <c r="M10" s="236">
        <f>MAX(0,100-MIN(100,MAX(0,(HedgeCo!M4-ASSUMPTIONS!C70)*ASSUMPTIONS!C86*4)))</f>
        <v>0</v>
      </c>
    </row>
    <row r="11" spans="1:13" ht="21.75" customHeight="1" x14ac:dyDescent="0.3">
      <c r="A11" s="31" t="s">
        <v>413</v>
      </c>
      <c r="B11" s="32" t="s">
        <v>414</v>
      </c>
      <c r="C11" s="33">
        <f>RepoCo!C4</f>
        <v>0</v>
      </c>
      <c r="D11" s="33">
        <f>RepoCo!D4</f>
        <v>0</v>
      </c>
      <c r="E11" s="33">
        <f>RepoCo!E4</f>
        <v>0</v>
      </c>
      <c r="F11" s="33">
        <f>RepoCo!F4</f>
        <v>0</v>
      </c>
      <c r="G11" s="33">
        <f>RepoCo!G4</f>
        <v>0</v>
      </c>
      <c r="H11" s="33">
        <f>RepoCo!H4</f>
        <v>0</v>
      </c>
      <c r="I11" s="33">
        <f>RepoCo!I4</f>
        <v>0</v>
      </c>
      <c r="J11" s="33">
        <f>RepoCo!J4</f>
        <v>0</v>
      </c>
      <c r="K11" s="33">
        <f>RepoCo!K4</f>
        <v>0</v>
      </c>
      <c r="L11" s="33">
        <f>RepoCo!L4</f>
        <v>0</v>
      </c>
      <c r="M11" s="33">
        <f>RepoCo!M4</f>
        <v>0</v>
      </c>
    </row>
    <row r="12" spans="1:13" ht="23.25" customHeight="1" x14ac:dyDescent="0.3">
      <c r="A12" s="31" t="s">
        <v>415</v>
      </c>
      <c r="B12" s="32" t="s">
        <v>416</v>
      </c>
      <c r="C12" s="33">
        <f>RepoCo!C13</f>
        <v>61.68</v>
      </c>
      <c r="D12" s="33">
        <f>RepoCo!D13</f>
        <v>31.366499999999995</v>
      </c>
      <c r="E12" s="33">
        <f>RepoCo!E13</f>
        <v>51.082605000000008</v>
      </c>
      <c r="F12" s="33">
        <f>RepoCo!F13</f>
        <v>78.762991200000016</v>
      </c>
      <c r="G12" s="33">
        <f>RepoCo!G13</f>
        <v>121.08499854000002</v>
      </c>
      <c r="H12" s="33">
        <f>RepoCo!H13</f>
        <v>167.78307443524002</v>
      </c>
      <c r="I12" s="33">
        <f>RepoCo!I13</f>
        <v>306.50802687914086</v>
      </c>
      <c r="J12" s="33">
        <f>RepoCo!J13</f>
        <v>413.02590835496818</v>
      </c>
      <c r="K12" s="33">
        <f>RepoCo!K13</f>
        <v>565.48937439127394</v>
      </c>
      <c r="L12" s="33">
        <f>RepoCo!L13</f>
        <v>705.89839819263364</v>
      </c>
      <c r="M12" s="33">
        <f>RepoCo!M13</f>
        <v>777.16258130793119</v>
      </c>
    </row>
    <row r="13" spans="1:13" ht="15" customHeight="1" x14ac:dyDescent="0.3">
      <c r="A13" s="31" t="s">
        <v>417</v>
      </c>
      <c r="B13" s="34"/>
      <c r="C13" s="35">
        <v>200</v>
      </c>
      <c r="D13" s="33">
        <f t="shared" ref="D13:M13" si="3">C13*1.02</f>
        <v>204</v>
      </c>
      <c r="E13" s="33">
        <f t="shared" si="3"/>
        <v>208.08</v>
      </c>
      <c r="F13" s="33">
        <f t="shared" si="3"/>
        <v>212.24160000000001</v>
      </c>
      <c r="G13" s="33">
        <f t="shared" si="3"/>
        <v>216.48643200000001</v>
      </c>
      <c r="H13" s="33">
        <f t="shared" si="3"/>
        <v>220.81616064000002</v>
      </c>
      <c r="I13" s="33">
        <f t="shared" si="3"/>
        <v>225.23248385280002</v>
      </c>
      <c r="J13" s="33">
        <f t="shared" si="3"/>
        <v>229.73713352985601</v>
      </c>
      <c r="K13" s="33">
        <f t="shared" si="3"/>
        <v>234.33187620045314</v>
      </c>
      <c r="L13" s="33">
        <f t="shared" si="3"/>
        <v>239.0185137244622</v>
      </c>
      <c r="M13" s="33">
        <f t="shared" si="3"/>
        <v>243.79888399895145</v>
      </c>
    </row>
    <row r="14" spans="1:13" ht="15" customHeight="1" x14ac:dyDescent="0.3">
      <c r="A14" s="36" t="s">
        <v>418</v>
      </c>
      <c r="B14" s="34"/>
      <c r="C14" s="33">
        <f t="shared" ref="C14:M14" si="4">SUM(C10:C13)</f>
        <v>361.68</v>
      </c>
      <c r="D14" s="33">
        <f t="shared" si="4"/>
        <v>310.81150000000002</v>
      </c>
      <c r="E14" s="33">
        <f t="shared" si="4"/>
        <v>293.21230500000001</v>
      </c>
      <c r="F14" s="33">
        <f t="shared" si="4"/>
        <v>291.00459120000005</v>
      </c>
      <c r="G14" s="33">
        <f t="shared" si="4"/>
        <v>337.57143054000005</v>
      </c>
      <c r="H14" s="33">
        <f t="shared" si="4"/>
        <v>388.59923507524002</v>
      </c>
      <c r="I14" s="33">
        <f t="shared" si="4"/>
        <v>531.74051073194084</v>
      </c>
      <c r="J14" s="33">
        <f t="shared" si="4"/>
        <v>642.76304188482413</v>
      </c>
      <c r="K14" s="33">
        <f t="shared" si="4"/>
        <v>799.82125059172711</v>
      </c>
      <c r="L14" s="33">
        <f t="shared" si="4"/>
        <v>944.91691191709583</v>
      </c>
      <c r="M14" s="33">
        <f t="shared" si="4"/>
        <v>1020.9614653068827</v>
      </c>
    </row>
    <row r="16" spans="1:13" ht="15" customHeight="1" x14ac:dyDescent="0.3">
      <c r="A16" s="258" t="s">
        <v>419</v>
      </c>
      <c r="B16" s="259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</row>
    <row r="17" spans="1:13" ht="23.25" customHeight="1" x14ac:dyDescent="0.3">
      <c r="A17" s="37" t="s">
        <v>420</v>
      </c>
      <c r="B17" s="38" t="s">
        <v>421</v>
      </c>
      <c r="C17" s="39">
        <f t="shared" ref="C17:M17" si="5">C7-C14</f>
        <v>218.32</v>
      </c>
      <c r="D17" s="39">
        <f t="shared" si="5"/>
        <v>284.7885</v>
      </c>
      <c r="E17" s="39">
        <f t="shared" si="5"/>
        <v>323.099695</v>
      </c>
      <c r="F17" s="39">
        <f t="shared" si="5"/>
        <v>346.13364880000006</v>
      </c>
      <c r="G17" s="39">
        <f t="shared" si="5"/>
        <v>295.50957426000002</v>
      </c>
      <c r="H17" s="39">
        <f t="shared" si="5"/>
        <v>265.54338982076001</v>
      </c>
      <c r="I17" s="39">
        <f t="shared" si="5"/>
        <v>148.58496666197914</v>
      </c>
      <c r="J17" s="39">
        <f t="shared" si="5"/>
        <v>58.868945056974326</v>
      </c>
      <c r="K17" s="39">
        <f t="shared" si="5"/>
        <v>-71.756623911092674</v>
      </c>
      <c r="L17" s="39">
        <f t="shared" si="5"/>
        <v>-195.29099270284871</v>
      </c>
      <c r="M17" s="39">
        <f t="shared" si="5"/>
        <v>-279.6430277083507</v>
      </c>
    </row>
    <row r="19" spans="1:13" ht="15" customHeight="1" x14ac:dyDescent="0.3">
      <c r="A19" s="258" t="s">
        <v>422</v>
      </c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</row>
    <row r="20" spans="1:13" ht="21.75" customHeight="1" x14ac:dyDescent="0.3">
      <c r="A20" s="24" t="s">
        <v>124</v>
      </c>
      <c r="B20" s="25" t="s">
        <v>423</v>
      </c>
      <c r="C20" s="26">
        <f>ASSUMPTIONS!C7</f>
        <v>-80</v>
      </c>
      <c r="D20" s="26">
        <f>ASSUMPTIONS!D7</f>
        <v>0</v>
      </c>
      <c r="E20" s="26">
        <f>ASSUMPTIONS!E7</f>
        <v>0</v>
      </c>
      <c r="F20" s="26">
        <f>ASSUMPTIONS!F7</f>
        <v>0</v>
      </c>
      <c r="G20" s="26">
        <f>ASSUMPTIONS!G7</f>
        <v>0</v>
      </c>
      <c r="H20" s="26">
        <f>ASSUMPTIONS!H7</f>
        <v>0</v>
      </c>
      <c r="I20" s="26">
        <f>ASSUMPTIONS!I7</f>
        <v>0</v>
      </c>
      <c r="J20" s="26">
        <f>ASSUMPTIONS!J7</f>
        <v>0</v>
      </c>
      <c r="K20" s="26">
        <f>ASSUMPTIONS!K7</f>
        <v>0</v>
      </c>
      <c r="L20" s="26">
        <f>ASSUMPTIONS!L7</f>
        <v>0</v>
      </c>
      <c r="M20" s="26">
        <f>ASSUMPTIONS!M7</f>
        <v>0</v>
      </c>
    </row>
    <row r="22" spans="1:13" ht="15" customHeight="1" x14ac:dyDescent="0.3">
      <c r="A22" s="274" t="s">
        <v>424</v>
      </c>
      <c r="B22" s="259"/>
      <c r="C22" s="259"/>
      <c r="D22" s="259"/>
      <c r="E22" s="259"/>
      <c r="F22" s="259"/>
      <c r="G22" s="259"/>
      <c r="H22" s="259"/>
      <c r="I22" s="259"/>
      <c r="J22" s="259"/>
      <c r="K22" s="259"/>
      <c r="L22" s="259"/>
      <c r="M22" s="259"/>
    </row>
    <row r="23" spans="1:13" ht="21.75" customHeight="1" x14ac:dyDescent="0.3">
      <c r="A23" s="41" t="s">
        <v>425</v>
      </c>
      <c r="B23" s="42" t="s">
        <v>426</v>
      </c>
      <c r="C23" s="43">
        <f>(C7-C11-C12)/ASSUMPTIONS!C5</f>
        <v>1.8511428571428574</v>
      </c>
      <c r="D23" s="43">
        <f>(D7-D11-D12)/ASSUMPTIONS!D5</f>
        <v>1.9659703832752615</v>
      </c>
      <c r="E23" s="43">
        <f>(E7-E11-E12)/ASSUMPTIONS!E5</f>
        <v>1.9225489625850338</v>
      </c>
      <c r="F23" s="43">
        <f>(F7-F11-F12)/ASSUMPTIONS!F5</f>
        <v>1.8489246649006628</v>
      </c>
      <c r="G23" s="43">
        <f>(G7-G11-G12)/ASSUMPTIONS!G5</f>
        <v>1.7777639106250003</v>
      </c>
      <c r="H23" s="43">
        <f>(H7-H11-H12)/ASSUMPTIONS!H5</f>
        <v>1.6211985015358668</v>
      </c>
      <c r="I23" s="43">
        <f>(I7-I11-I12)/ASSUMPTIONS!I5</f>
        <v>1.2136930211518804</v>
      </c>
      <c r="J23" s="43">
        <f>(J7-J11-J12)/ASSUMPTIONS!J5</f>
        <v>0.91620977329152464</v>
      </c>
      <c r="K23" s="43">
        <f>(K7-K11-K12)/ASSUMPTIONS!K5</f>
        <v>0.50804766340425156</v>
      </c>
      <c r="L23" s="43">
        <f>(L7-L11-L12)/ASSUMPTIONS!L5</f>
        <v>0.13750792774092291</v>
      </c>
      <c r="M23" s="43">
        <f>(M7-M11-M12)/ASSUMPTIONS!M5</f>
        <v>-0.11948047903133063</v>
      </c>
    </row>
    <row r="24" spans="1:13" ht="15" customHeight="1" x14ac:dyDescent="0.3">
      <c r="A24" s="41" t="s">
        <v>427</v>
      </c>
      <c r="B24" s="42" t="s">
        <v>428</v>
      </c>
      <c r="C24" s="44">
        <f>C17/ASSUMPTIONS!C5</f>
        <v>0.77971428571428569</v>
      </c>
      <c r="D24" s="44">
        <f>D17/ASSUMPTIONS!D5</f>
        <v>0.99229442508710797</v>
      </c>
      <c r="E24" s="44">
        <f>E17/ASSUMPTIONS!E5</f>
        <v>1.0989785544217687</v>
      </c>
      <c r="F24" s="44">
        <f>F17/ASSUMPTIONS!F5</f>
        <v>1.146137909933775</v>
      </c>
      <c r="G24" s="44">
        <f>G17/ASSUMPTIONS!G5</f>
        <v>1.026074910625</v>
      </c>
      <c r="H24" s="44">
        <f>H17/ASSUMPTIONS!H5</f>
        <v>0.88514463273586674</v>
      </c>
      <c r="I24" s="44">
        <f>I17/ASSUMPTIONS!I5</f>
        <v>0.48241872292850368</v>
      </c>
      <c r="J24" s="44">
        <f>J17/ASSUMPTIONS!J5</f>
        <v>0.18688553986341055</v>
      </c>
      <c r="K24" s="44">
        <f>K17/ASSUMPTIONS!K5</f>
        <v>-0.22423944972216461</v>
      </c>
      <c r="L24" s="44">
        <f>L17/ASSUMPTIONS!L5</f>
        <v>-0.61412261856241734</v>
      </c>
      <c r="M24" s="44">
        <f>M17/ASSUMPTIONS!M5</f>
        <v>-0.93214342569450237</v>
      </c>
    </row>
    <row r="25" spans="1:13" ht="23.25" customHeight="1" x14ac:dyDescent="0.3">
      <c r="A25" s="41" t="s">
        <v>429</v>
      </c>
      <c r="B25" s="42" t="s">
        <v>430</v>
      </c>
      <c r="C25" s="44">
        <f t="shared" ref="C25:M25" si="6">IF((C11+C12)=0,"-",C11/(C11+C12))</f>
        <v>0</v>
      </c>
      <c r="D25" s="44">
        <f t="shared" si="6"/>
        <v>0</v>
      </c>
      <c r="E25" s="44">
        <f t="shared" si="6"/>
        <v>0</v>
      </c>
      <c r="F25" s="44">
        <f t="shared" si="6"/>
        <v>0</v>
      </c>
      <c r="G25" s="44">
        <f t="shared" si="6"/>
        <v>0</v>
      </c>
      <c r="H25" s="44">
        <f t="shared" si="6"/>
        <v>0</v>
      </c>
      <c r="I25" s="44">
        <f t="shared" si="6"/>
        <v>0</v>
      </c>
      <c r="J25" s="44">
        <f t="shared" si="6"/>
        <v>0</v>
      </c>
      <c r="K25" s="44">
        <f t="shared" si="6"/>
        <v>0</v>
      </c>
      <c r="L25" s="44">
        <f t="shared" si="6"/>
        <v>0</v>
      </c>
      <c r="M25" s="44">
        <f t="shared" si="6"/>
        <v>0</v>
      </c>
    </row>
  </sheetData>
  <mergeCells count="6">
    <mergeCell ref="A19:M19"/>
    <mergeCell ref="A1:M1"/>
    <mergeCell ref="A22:M22"/>
    <mergeCell ref="A9:M9"/>
    <mergeCell ref="A3:M3"/>
    <mergeCell ref="A16:M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zoomScaleNormal="100" workbookViewId="0"/>
  </sheetViews>
  <sheetFormatPr defaultColWidth="8.6640625" defaultRowHeight="14.4" x14ac:dyDescent="0.3"/>
  <cols>
    <col min="1" max="1" width="52" customWidth="1"/>
    <col min="2" max="2" width="16" customWidth="1"/>
    <col min="3" max="13" width="10" customWidth="1"/>
  </cols>
  <sheetData>
    <row r="1" spans="1:14" ht="21.75" customHeight="1" x14ac:dyDescent="0.3">
      <c r="A1" s="275" t="s">
        <v>431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</row>
    <row r="2" spans="1:14" ht="15" customHeight="1" x14ac:dyDescent="0.3">
      <c r="A2" s="45" t="s">
        <v>106</v>
      </c>
      <c r="B2" s="45" t="s">
        <v>432</v>
      </c>
      <c r="C2" s="45" t="s">
        <v>108</v>
      </c>
      <c r="D2" s="45" t="s">
        <v>109</v>
      </c>
      <c r="E2" s="45" t="s">
        <v>110</v>
      </c>
      <c r="F2" s="45" t="s">
        <v>111</v>
      </c>
      <c r="G2" s="45" t="s">
        <v>112</v>
      </c>
      <c r="H2" s="45" t="s">
        <v>113</v>
      </c>
      <c r="I2" s="45" t="s">
        <v>114</v>
      </c>
      <c r="J2" s="45" t="s">
        <v>115</v>
      </c>
      <c r="K2" s="45" t="s">
        <v>116</v>
      </c>
      <c r="L2" s="45" t="s">
        <v>117</v>
      </c>
      <c r="M2" s="45" t="s">
        <v>433</v>
      </c>
    </row>
    <row r="3" spans="1:14" ht="15" customHeight="1" x14ac:dyDescent="0.3">
      <c r="A3" s="46" t="s">
        <v>404</v>
      </c>
    </row>
    <row r="4" spans="1:14" ht="15" customHeight="1" x14ac:dyDescent="0.3">
      <c r="A4" s="47" t="s">
        <v>434</v>
      </c>
      <c r="B4" s="48" t="s">
        <v>435</v>
      </c>
      <c r="C4" s="215">
        <v>20</v>
      </c>
      <c r="D4" s="215">
        <f t="shared" ref="D4:M4" si="0">MAX(0,C4-C19)</f>
        <v>0</v>
      </c>
      <c r="E4" s="215">
        <f t="shared" si="0"/>
        <v>0</v>
      </c>
      <c r="F4" s="215">
        <f t="shared" si="0"/>
        <v>0</v>
      </c>
      <c r="G4" s="215">
        <f t="shared" si="0"/>
        <v>0</v>
      </c>
      <c r="H4" s="215">
        <f t="shared" si="0"/>
        <v>0</v>
      </c>
      <c r="I4" s="215">
        <f t="shared" si="0"/>
        <v>0</v>
      </c>
      <c r="J4" s="215">
        <f t="shared" si="0"/>
        <v>0</v>
      </c>
      <c r="K4" s="215">
        <f t="shared" si="0"/>
        <v>0</v>
      </c>
      <c r="L4" s="215">
        <f t="shared" si="0"/>
        <v>0</v>
      </c>
      <c r="M4" s="215">
        <f t="shared" si="0"/>
        <v>0</v>
      </c>
    </row>
    <row r="5" spans="1:14" ht="21.75" customHeight="1" x14ac:dyDescent="0.3">
      <c r="A5" s="47" t="s">
        <v>436</v>
      </c>
      <c r="B5" s="48" t="s">
        <v>437</v>
      </c>
      <c r="C5" s="50">
        <v>80</v>
      </c>
      <c r="D5" s="50">
        <v>80</v>
      </c>
      <c r="E5" s="50">
        <v>80</v>
      </c>
      <c r="F5" s="50">
        <v>80</v>
      </c>
      <c r="G5" s="50">
        <v>80</v>
      </c>
      <c r="H5" s="50">
        <v>80</v>
      </c>
      <c r="I5" s="50">
        <v>80</v>
      </c>
      <c r="J5" s="50">
        <v>80</v>
      </c>
      <c r="K5" s="50">
        <v>80</v>
      </c>
      <c r="L5" s="50">
        <v>80</v>
      </c>
      <c r="M5" s="50">
        <v>80</v>
      </c>
    </row>
    <row r="6" spans="1:14" ht="15" customHeight="1" x14ac:dyDescent="0.3">
      <c r="A6" s="46" t="s">
        <v>409</v>
      </c>
      <c r="C6" s="49">
        <f t="shared" ref="C6:M6" si="1">SUM(C4:C5)</f>
        <v>100</v>
      </c>
      <c r="D6" s="49">
        <f t="shared" si="1"/>
        <v>80</v>
      </c>
      <c r="E6" s="49">
        <f t="shared" si="1"/>
        <v>80</v>
      </c>
      <c r="F6" s="49">
        <f t="shared" si="1"/>
        <v>80</v>
      </c>
      <c r="G6" s="49">
        <f t="shared" si="1"/>
        <v>80</v>
      </c>
      <c r="H6" s="49">
        <f t="shared" si="1"/>
        <v>80</v>
      </c>
      <c r="I6" s="49">
        <f t="shared" si="1"/>
        <v>80</v>
      </c>
      <c r="J6" s="49">
        <f t="shared" si="1"/>
        <v>80</v>
      </c>
      <c r="K6" s="49">
        <f t="shared" si="1"/>
        <v>80</v>
      </c>
      <c r="L6" s="49">
        <f t="shared" si="1"/>
        <v>80</v>
      </c>
      <c r="M6" s="49">
        <f t="shared" si="1"/>
        <v>80</v>
      </c>
    </row>
    <row r="7" spans="1:14" ht="6" customHeight="1" x14ac:dyDescent="0.3"/>
    <row r="8" spans="1:14" ht="15" customHeight="1" x14ac:dyDescent="0.3">
      <c r="A8" s="51" t="s">
        <v>410</v>
      </c>
    </row>
    <row r="9" spans="1:14" ht="23.25" customHeight="1" x14ac:dyDescent="0.3">
      <c r="A9" s="52" t="s">
        <v>438</v>
      </c>
      <c r="B9" s="48" t="s">
        <v>439</v>
      </c>
      <c r="C9" s="53">
        <f>FedCo!C4</f>
        <v>64</v>
      </c>
      <c r="D9" s="53">
        <f>FedCo!D4</f>
        <v>79</v>
      </c>
      <c r="E9" s="53">
        <f>FedCo!E4</f>
        <v>94</v>
      </c>
      <c r="F9" s="53">
        <f>FedCo!F4</f>
        <v>114</v>
      </c>
      <c r="G9" s="53">
        <f>FedCo!G4</f>
        <v>194</v>
      </c>
      <c r="H9" s="53">
        <f>FedCo!H4</f>
        <v>186</v>
      </c>
      <c r="I9" s="53">
        <f>FedCo!I4</f>
        <v>166</v>
      </c>
      <c r="J9" s="53">
        <f>FedCo!J4</f>
        <v>141</v>
      </c>
      <c r="K9" s="53">
        <f>FedCo!K4</f>
        <v>126</v>
      </c>
      <c r="L9" s="53">
        <f>FedCo!L4</f>
        <v>118</v>
      </c>
      <c r="M9" s="53">
        <f>FedCo!M4</f>
        <v>163</v>
      </c>
    </row>
    <row r="10" spans="1:14" ht="32.25" customHeight="1" x14ac:dyDescent="0.3">
      <c r="A10" s="210" t="s">
        <v>440</v>
      </c>
      <c r="B10" s="211" t="s">
        <v>441</v>
      </c>
      <c r="C10" s="212">
        <f>HedgeCo!C4</f>
        <v>80</v>
      </c>
      <c r="D10" s="212">
        <f>HedgeCo!D4</f>
        <v>104.55499999999999</v>
      </c>
      <c r="E10" s="212">
        <f>HedgeCo!E4</f>
        <v>145.95030000000003</v>
      </c>
      <c r="F10" s="212">
        <f>HedgeCo!F4</f>
        <v>196.90747800000003</v>
      </c>
      <c r="G10" s="212">
        <f>HedgeCo!G4</f>
        <v>242.16999708000003</v>
      </c>
      <c r="H10" s="212">
        <f>HedgeCo!H4</f>
        <v>305.06013533680004</v>
      </c>
      <c r="I10" s="212">
        <f>HedgeCo!I4</f>
        <v>437.86860982734413</v>
      </c>
      <c r="J10" s="212">
        <f>HedgeCo!J4</f>
        <v>573.64709493745579</v>
      </c>
      <c r="K10" s="212">
        <f>HedgeCo!K4</f>
        <v>753.98583252169863</v>
      </c>
      <c r="L10" s="212">
        <f>HedgeCo!L4</f>
        <v>928.81368183241273</v>
      </c>
      <c r="M10" s="212">
        <f>HedgeCo!M4</f>
        <v>1022.5823438262253</v>
      </c>
    </row>
    <row r="11" spans="1:14" ht="23.25" customHeight="1" x14ac:dyDescent="0.3">
      <c r="A11" s="52" t="s">
        <v>442</v>
      </c>
      <c r="B11" s="48" t="s">
        <v>443</v>
      </c>
      <c r="C11" s="53">
        <f>AmeriCo!C10</f>
        <v>100</v>
      </c>
      <c r="D11" s="53">
        <f>AmeriCo!D10</f>
        <v>75.445000000000007</v>
      </c>
      <c r="E11" s="53">
        <f>AmeriCo!E10</f>
        <v>34.049699999999973</v>
      </c>
      <c r="F11" s="53">
        <f>AmeriCo!F10</f>
        <v>0</v>
      </c>
      <c r="G11" s="53">
        <f>AmeriCo!G10</f>
        <v>0</v>
      </c>
      <c r="H11" s="53">
        <f>AmeriCo!H10</f>
        <v>0</v>
      </c>
      <c r="I11" s="53">
        <f>AmeriCo!I10</f>
        <v>0</v>
      </c>
      <c r="J11" s="53">
        <f>AmeriCo!J10</f>
        <v>0</v>
      </c>
      <c r="K11" s="53">
        <f>AmeriCo!K10</f>
        <v>0</v>
      </c>
      <c r="L11" s="53">
        <f>AmeriCo!L10</f>
        <v>0</v>
      </c>
      <c r="M11" s="53">
        <f>AmeriCo!M10</f>
        <v>0</v>
      </c>
    </row>
    <row r="12" spans="1:14" ht="21.75" customHeight="1" x14ac:dyDescent="0.3">
      <c r="A12" s="239" t="s">
        <v>444</v>
      </c>
      <c r="B12" s="211" t="s">
        <v>445</v>
      </c>
      <c r="C12" s="240" t="e">
        <f ca="1">HouseholdCo!C8</f>
        <v>#VALUE!</v>
      </c>
      <c r="D12" s="240" t="e">
        <f ca="1">HouseholdCo!D8</f>
        <v>#VALUE!</v>
      </c>
      <c r="E12" s="240" t="e">
        <f ca="1">HouseholdCo!E8</f>
        <v>#VALUE!</v>
      </c>
      <c r="F12" s="240" t="e">
        <f ca="1">HouseholdCo!F8</f>
        <v>#VALUE!</v>
      </c>
      <c r="G12" s="240" t="e">
        <f ca="1">HouseholdCo!G8</f>
        <v>#VALUE!</v>
      </c>
      <c r="H12" s="240" t="e">
        <f ca="1">HouseholdCo!H8</f>
        <v>#VALUE!</v>
      </c>
      <c r="I12" s="240" t="e">
        <f ca="1">HouseholdCo!I8</f>
        <v>#VALUE!</v>
      </c>
      <c r="J12" s="240" t="e">
        <f ca="1">HouseholdCo!J8</f>
        <v>#VALUE!</v>
      </c>
      <c r="K12" s="240" t="e">
        <f ca="1">HouseholdCo!K8</f>
        <v>#VALUE!</v>
      </c>
      <c r="L12" s="240" t="e">
        <f ca="1">HouseholdCo!L8</f>
        <v>#VALUE!</v>
      </c>
      <c r="M12" s="240" t="e">
        <f ca="1">HouseholdCo!M8</f>
        <v>#VALUE!</v>
      </c>
    </row>
    <row r="13" spans="1:14" ht="15" customHeight="1" x14ac:dyDescent="0.3">
      <c r="A13" s="239" t="s">
        <v>446</v>
      </c>
      <c r="B13" s="208" t="s">
        <v>447</v>
      </c>
      <c r="C13" s="240" t="e">
        <f ca="1">InsuranceCo!C5</f>
        <v>#VALUE!</v>
      </c>
      <c r="D13" s="240" t="e">
        <f ca="1">InsuranceCo!D5</f>
        <v>#VALUE!</v>
      </c>
      <c r="E13" s="240" t="e">
        <f ca="1">InsuranceCo!E5</f>
        <v>#VALUE!</v>
      </c>
      <c r="F13" s="240" t="e">
        <f ca="1">InsuranceCo!F5</f>
        <v>#VALUE!</v>
      </c>
      <c r="G13" s="240" t="e">
        <f ca="1">InsuranceCo!G5</f>
        <v>#VALUE!</v>
      </c>
      <c r="H13" s="240" t="e">
        <f ca="1">InsuranceCo!H5</f>
        <v>#VALUE!</v>
      </c>
      <c r="I13" s="240" t="e">
        <f ca="1">InsuranceCo!I5</f>
        <v>#VALUE!</v>
      </c>
      <c r="J13" s="240" t="e">
        <f ca="1">InsuranceCo!J5</f>
        <v>#VALUE!</v>
      </c>
      <c r="K13" s="240" t="e">
        <f ca="1">InsuranceCo!K5</f>
        <v>#VALUE!</v>
      </c>
      <c r="L13" s="240" t="e">
        <f ca="1">InsuranceCo!L5</f>
        <v>#VALUE!</v>
      </c>
      <c r="M13" s="240" t="e">
        <f ca="1">InsuranceCo!M5</f>
        <v>#VALUE!</v>
      </c>
    </row>
    <row r="14" spans="1:14" ht="6" customHeight="1" x14ac:dyDescent="0.3">
      <c r="A14" s="168" t="s">
        <v>448</v>
      </c>
      <c r="B14" s="208" t="s">
        <v>449</v>
      </c>
      <c r="C14" s="220">
        <f>FinServCo!C5</f>
        <v>60</v>
      </c>
      <c r="D14" s="220">
        <f>FinServCo!D5</f>
        <v>35.445000000000007</v>
      </c>
      <c r="E14" s="220">
        <f>FinServCo!E5</f>
        <v>0</v>
      </c>
      <c r="F14" s="220">
        <f>FinServCo!F5</f>
        <v>0</v>
      </c>
      <c r="G14" s="220">
        <f>FinServCo!G5</f>
        <v>0</v>
      </c>
      <c r="H14" s="220">
        <f>FinServCo!H5</f>
        <v>0</v>
      </c>
      <c r="I14" s="220">
        <f>FinServCo!I5</f>
        <v>0</v>
      </c>
      <c r="J14" s="220">
        <f>FinServCo!J5</f>
        <v>0</v>
      </c>
      <c r="K14" s="220">
        <f>FinServCo!K5</f>
        <v>0</v>
      </c>
      <c r="L14" s="220">
        <f>FinServCo!L5</f>
        <v>0</v>
      </c>
      <c r="M14" s="220">
        <f>FinServCo!M5</f>
        <v>0</v>
      </c>
    </row>
    <row r="15" spans="1:14" ht="15" customHeight="1" x14ac:dyDescent="0.3">
      <c r="A15" s="168" t="s">
        <v>450</v>
      </c>
      <c r="B15" s="208" t="s">
        <v>451</v>
      </c>
      <c r="C15" s="220">
        <f>AmeriBankCo!C6</f>
        <v>30</v>
      </c>
      <c r="D15" s="220">
        <f>AmeriBankCo!D6</f>
        <v>5.4450000000000074</v>
      </c>
      <c r="E15" s="220">
        <f>AmeriBankCo!E6</f>
        <v>0</v>
      </c>
      <c r="F15" s="220">
        <f>AmeriBankCo!F6</f>
        <v>0</v>
      </c>
      <c r="G15" s="220">
        <f>AmeriBankCo!G6</f>
        <v>0</v>
      </c>
      <c r="H15" s="220">
        <f>AmeriBankCo!H6</f>
        <v>0</v>
      </c>
      <c r="I15" s="220">
        <f>AmeriBankCo!I6</f>
        <v>0</v>
      </c>
      <c r="J15" s="220">
        <f>AmeriBankCo!J6</f>
        <v>0</v>
      </c>
      <c r="K15" s="220">
        <f>AmeriBankCo!K6</f>
        <v>0</v>
      </c>
      <c r="L15" s="220">
        <f>AmeriBankCo!L6</f>
        <v>0</v>
      </c>
      <c r="M15" s="220">
        <f>AmeriBankCo!M6</f>
        <v>0</v>
      </c>
    </row>
    <row r="16" spans="1:14" ht="15" customHeight="1" x14ac:dyDescent="0.3">
      <c r="A16" s="168" t="s">
        <v>452</v>
      </c>
      <c r="B16" s="208" t="s">
        <v>453</v>
      </c>
      <c r="C16" s="245" t="e">
        <f ca="1">GovCo!C18-GovCo!C9-GovCo!C10-GovCo!C11-GovCo!C12-GovCo!C13-GovCo!C14-GovCo!C15</f>
        <v>#VALUE!</v>
      </c>
      <c r="D16" s="245" t="e">
        <f ca="1">GovCo!D18-GovCo!D9-GovCo!D10-GovCo!D11-GovCo!D12-GovCo!D13-GovCo!D14-GovCo!D15</f>
        <v>#VALUE!</v>
      </c>
      <c r="E16" s="245" t="e">
        <f ca="1">GovCo!E18-GovCo!E9-GovCo!E10-GovCo!E11-GovCo!E12-GovCo!E13-GovCo!E14-GovCo!E15</f>
        <v>#VALUE!</v>
      </c>
      <c r="F16" s="245" t="e">
        <f ca="1">GovCo!F18-GovCo!F9-GovCo!F10-GovCo!F11-GovCo!F12-GovCo!F13-GovCo!F14-GovCo!F15</f>
        <v>#VALUE!</v>
      </c>
      <c r="G16" s="245" t="e">
        <f ca="1">GovCo!G18-GovCo!G9-GovCo!G10-GovCo!G11-GovCo!G12-GovCo!G13-GovCo!G14-GovCo!G15</f>
        <v>#VALUE!</v>
      </c>
      <c r="H16" s="245" t="e">
        <f ca="1">GovCo!H18-GovCo!H9-GovCo!H10-GovCo!H11-GovCo!H12-GovCo!H13-GovCo!H14-GovCo!H15</f>
        <v>#VALUE!</v>
      </c>
      <c r="I16" s="245" t="e">
        <f ca="1">GovCo!I18-GovCo!I9-GovCo!I10-GovCo!I11-GovCo!I12-GovCo!I13-GovCo!I14-GovCo!I15</f>
        <v>#VALUE!</v>
      </c>
      <c r="J16" s="245" t="e">
        <f ca="1">GovCo!J18-GovCo!J9-GovCo!J10-GovCo!J11-GovCo!J12-GovCo!J13-GovCo!J14-GovCo!J15</f>
        <v>#VALUE!</v>
      </c>
      <c r="K16" s="245" t="e">
        <f ca="1">GovCo!K18-GovCo!K9-GovCo!K10-GovCo!K11-GovCo!K12-GovCo!K13-GovCo!K14-GovCo!K15</f>
        <v>#VALUE!</v>
      </c>
      <c r="L16" s="245" t="e">
        <f ca="1">GovCo!L18-GovCo!L9-GovCo!L10-GovCo!L11-GovCo!L12-GovCo!L13-GovCo!L14-GovCo!L15</f>
        <v>#VALUE!</v>
      </c>
      <c r="M16" s="245" t="e">
        <f ca="1">GovCo!M18-GovCo!M9-GovCo!M10-GovCo!M11-GovCo!M12-GovCo!M13-GovCo!M14-GovCo!M15</f>
        <v>#VALUE!</v>
      </c>
    </row>
    <row r="17" spans="1:13" ht="15" customHeight="1" x14ac:dyDescent="0.3">
      <c r="A17" s="241" t="s">
        <v>454</v>
      </c>
      <c r="B17" s="208" t="s">
        <v>455</v>
      </c>
      <c r="C17" s="242" t="e">
        <f t="shared" ref="C17:M17" ca="1" si="2">C18-C9-C10-C11-C12-C13-C14-C15-C16</f>
        <v>#VALUE!</v>
      </c>
      <c r="D17" s="242" t="e">
        <f t="shared" ca="1" si="2"/>
        <v>#VALUE!</v>
      </c>
      <c r="E17" s="242" t="e">
        <f t="shared" ca="1" si="2"/>
        <v>#VALUE!</v>
      </c>
      <c r="F17" s="242" t="e">
        <f t="shared" ca="1" si="2"/>
        <v>#VALUE!</v>
      </c>
      <c r="G17" s="242" t="e">
        <f t="shared" ca="1" si="2"/>
        <v>#VALUE!</v>
      </c>
      <c r="H17" s="242" t="e">
        <f t="shared" ca="1" si="2"/>
        <v>#VALUE!</v>
      </c>
      <c r="I17" s="242" t="e">
        <f t="shared" ca="1" si="2"/>
        <v>#VALUE!</v>
      </c>
      <c r="J17" s="242" t="e">
        <f t="shared" ca="1" si="2"/>
        <v>#VALUE!</v>
      </c>
      <c r="K17" s="242" t="e">
        <f t="shared" ca="1" si="2"/>
        <v>#VALUE!</v>
      </c>
      <c r="L17" s="242" t="e">
        <f t="shared" ca="1" si="2"/>
        <v>#VALUE!</v>
      </c>
      <c r="M17" s="242" t="e">
        <f t="shared" ca="1" si="2"/>
        <v>#VALUE!</v>
      </c>
    </row>
    <row r="18" spans="1:13" ht="15" customHeight="1" x14ac:dyDescent="0.3">
      <c r="A18" s="243" t="s">
        <v>456</v>
      </c>
      <c r="B18" s="208" t="s">
        <v>457</v>
      </c>
      <c r="C18" s="244">
        <f>ASSUMPTIONS!C52</f>
        <v>380</v>
      </c>
      <c r="D18" s="244" t="e">
        <f t="shared" ref="D18:M18" ca="1" si="3">MAX(0,C18+C21)</f>
        <v>#VALUE!</v>
      </c>
      <c r="E18" s="244" t="e">
        <f t="shared" ca="1" si="3"/>
        <v>#VALUE!</v>
      </c>
      <c r="F18" s="244" t="e">
        <f t="shared" ca="1" si="3"/>
        <v>#VALUE!</v>
      </c>
      <c r="G18" s="244" t="e">
        <f t="shared" ca="1" si="3"/>
        <v>#VALUE!</v>
      </c>
      <c r="H18" s="244" t="e">
        <f t="shared" ca="1" si="3"/>
        <v>#VALUE!</v>
      </c>
      <c r="I18" s="244" t="e">
        <f t="shared" ca="1" si="3"/>
        <v>#VALUE!</v>
      </c>
      <c r="J18" s="244" t="e">
        <f t="shared" ca="1" si="3"/>
        <v>#VALUE!</v>
      </c>
      <c r="K18" s="244" t="e">
        <f t="shared" ca="1" si="3"/>
        <v>#VALUE!</v>
      </c>
      <c r="L18" s="244" t="e">
        <f t="shared" ca="1" si="3"/>
        <v>#VALUE!</v>
      </c>
      <c r="M18" s="244" t="e">
        <f t="shared" ca="1" si="3"/>
        <v>#VALUE!</v>
      </c>
    </row>
    <row r="19" spans="1:13" ht="15" customHeight="1" x14ac:dyDescent="0.3">
      <c r="A19" s="55" t="s">
        <v>458</v>
      </c>
      <c r="C19" s="56">
        <f>ASSUMPTIONS!C56</f>
        <v>300</v>
      </c>
      <c r="D19" s="56">
        <f>ASSUMPTIONS!D56</f>
        <v>300</v>
      </c>
      <c r="E19" s="56">
        <f>ASSUMPTIONS!E56</f>
        <v>300</v>
      </c>
      <c r="F19" s="56">
        <f>ASSUMPTIONS!F56</f>
        <v>300</v>
      </c>
      <c r="G19" s="56">
        <f>ASSUMPTIONS!G56</f>
        <v>300</v>
      </c>
      <c r="H19" s="56">
        <f>ASSUMPTIONS!H56</f>
        <v>300</v>
      </c>
      <c r="I19" s="56">
        <f>ASSUMPTIONS!I56</f>
        <v>300</v>
      </c>
      <c r="J19" s="56">
        <f>ASSUMPTIONS!J56</f>
        <v>300</v>
      </c>
      <c r="K19" s="56">
        <f>ASSUMPTIONS!K56</f>
        <v>300</v>
      </c>
      <c r="L19" s="56">
        <f>ASSUMPTIONS!L56</f>
        <v>300</v>
      </c>
      <c r="M19" s="56">
        <f>ASSUMPTIONS!M56</f>
        <v>300</v>
      </c>
    </row>
    <row r="20" spans="1:13" ht="6" customHeight="1" x14ac:dyDescent="0.3">
      <c r="A20" s="55" t="s">
        <v>459</v>
      </c>
      <c r="B20" s="48" t="s">
        <v>460</v>
      </c>
      <c r="C20" s="56">
        <f>ASSUMPTIONS!C54*ASSUMPTIONS!C52</f>
        <v>15.200000000000001</v>
      </c>
      <c r="D20" s="56" t="e">
        <f ca="1">ASSUMPTIONS!D54*C13</f>
        <v>#VALUE!</v>
      </c>
      <c r="E20" s="56" t="e">
        <f ca="1">ASSUMPTIONS!E54*D13</f>
        <v>#VALUE!</v>
      </c>
      <c r="F20" s="56" t="e">
        <f ca="1">ASSUMPTIONS!F54*E13</f>
        <v>#VALUE!</v>
      </c>
      <c r="G20" s="56" t="e">
        <f ca="1">ASSUMPTIONS!G54*F13</f>
        <v>#VALUE!</v>
      </c>
      <c r="H20" s="56" t="e">
        <f ca="1">ASSUMPTIONS!H54*G13</f>
        <v>#VALUE!</v>
      </c>
      <c r="I20" s="56" t="e">
        <f ca="1">ASSUMPTIONS!I54*H13</f>
        <v>#VALUE!</v>
      </c>
      <c r="J20" s="56" t="e">
        <f ca="1">ASSUMPTIONS!J54*I13</f>
        <v>#VALUE!</v>
      </c>
      <c r="K20" s="56" t="e">
        <f ca="1">ASSUMPTIONS!K54*J13</f>
        <v>#VALUE!</v>
      </c>
      <c r="L20" s="56" t="e">
        <f ca="1">ASSUMPTIONS!L54*K13</f>
        <v>#VALUE!</v>
      </c>
      <c r="M20" s="56" t="e">
        <f ca="1">ASSUMPTIONS!M54*L13</f>
        <v>#VALUE!</v>
      </c>
    </row>
    <row r="21" spans="1:13" ht="15" customHeight="1" x14ac:dyDescent="0.3">
      <c r="A21" s="57" t="s">
        <v>461</v>
      </c>
      <c r="C21" s="58" t="e">
        <f t="shared" ref="C21:M21" ca="1" si="4">C17+C18-C16</f>
        <v>#VALUE!</v>
      </c>
      <c r="D21" s="58" t="e">
        <f t="shared" ca="1" si="4"/>
        <v>#VALUE!</v>
      </c>
      <c r="E21" s="58" t="e">
        <f t="shared" ca="1" si="4"/>
        <v>#VALUE!</v>
      </c>
      <c r="F21" s="58" t="e">
        <f t="shared" ca="1" si="4"/>
        <v>#VALUE!</v>
      </c>
      <c r="G21" s="58" t="e">
        <f t="shared" ca="1" si="4"/>
        <v>#VALUE!</v>
      </c>
      <c r="H21" s="58" t="e">
        <f t="shared" ca="1" si="4"/>
        <v>#VALUE!</v>
      </c>
      <c r="I21" s="58" t="e">
        <f t="shared" ca="1" si="4"/>
        <v>#VALUE!</v>
      </c>
      <c r="J21" s="58" t="e">
        <f t="shared" ca="1" si="4"/>
        <v>#VALUE!</v>
      </c>
      <c r="K21" s="58" t="e">
        <f t="shared" ca="1" si="4"/>
        <v>#VALUE!</v>
      </c>
      <c r="L21" s="58" t="e">
        <f t="shared" ca="1" si="4"/>
        <v>#VALUE!</v>
      </c>
      <c r="M21" s="58" t="e">
        <f t="shared" ca="1" si="4"/>
        <v>#VALUE!</v>
      </c>
    </row>
    <row r="22" spans="1:13" ht="15" customHeight="1" x14ac:dyDescent="0.3"/>
    <row r="23" spans="1:13" ht="15" customHeight="1" x14ac:dyDescent="0.3">
      <c r="A23" s="59" t="s">
        <v>424</v>
      </c>
    </row>
    <row r="24" spans="1:13" ht="15" customHeight="1" x14ac:dyDescent="0.3">
      <c r="A24" s="60" t="s">
        <v>462</v>
      </c>
      <c r="C24" s="61" t="e">
        <f ca="1">IF(ASSUMPTIONS!C5=0,"-",C13/ASSUMPTIONS!C5)</f>
        <v>#VALUE!</v>
      </c>
      <c r="D24" s="61" t="e">
        <f ca="1">IF(ASSUMPTIONS!C5=0,"-",D13/ASSUMPTIONS!C5)</f>
        <v>#VALUE!</v>
      </c>
      <c r="E24" s="61" t="e">
        <f ca="1">IF(ASSUMPTIONS!C5=0,"-",E13/ASSUMPTIONS!C5)</f>
        <v>#VALUE!</v>
      </c>
      <c r="F24" s="61" t="e">
        <f ca="1">IF(ASSUMPTIONS!C5=0,"-",F13/ASSUMPTIONS!C5)</f>
        <v>#VALUE!</v>
      </c>
      <c r="G24" s="61" t="e">
        <f ca="1">IF(ASSUMPTIONS!C5=0,"-",G13/ASSUMPTIONS!C5)</f>
        <v>#VALUE!</v>
      </c>
      <c r="H24" s="61" t="e">
        <f ca="1">IF(ASSUMPTIONS!C5=0,"-",H13/ASSUMPTIONS!C5)</f>
        <v>#VALUE!</v>
      </c>
      <c r="I24" s="61" t="e">
        <f ca="1">IF(ASSUMPTIONS!C5=0,"-",I13/ASSUMPTIONS!C5)</f>
        <v>#VALUE!</v>
      </c>
      <c r="J24" s="61" t="e">
        <f ca="1">IF(ASSUMPTIONS!C5=0,"-",J13/ASSUMPTIONS!C5)</f>
        <v>#VALUE!</v>
      </c>
      <c r="K24" s="61" t="e">
        <f ca="1">IF(ASSUMPTIONS!C5=0,"-",K13/ASSUMPTIONS!C5)</f>
        <v>#VALUE!</v>
      </c>
      <c r="L24" s="61" t="e">
        <f ca="1">IF(ASSUMPTIONS!C5=0,"-",L13/ASSUMPTIONS!C5)</f>
        <v>#VALUE!</v>
      </c>
      <c r="M24" s="61" t="e">
        <f ca="1">IF(ASSUMPTIONS!C5=0,"-",M13/ASSUMPTIONS!C5)</f>
        <v>#VALUE!</v>
      </c>
    </row>
    <row r="25" spans="1:13" ht="15" customHeight="1" x14ac:dyDescent="0.3">
      <c r="A25" s="60" t="s">
        <v>463</v>
      </c>
      <c r="C25" s="61" t="e">
        <f t="shared" ref="C25:M25" ca="1" si="5">IF(C13=0,"-",(C10+C11)/C13)</f>
        <v>#VALUE!</v>
      </c>
      <c r="D25" s="61" t="e">
        <f t="shared" ca="1" si="5"/>
        <v>#VALUE!</v>
      </c>
      <c r="E25" s="61" t="e">
        <f t="shared" ca="1" si="5"/>
        <v>#VALUE!</v>
      </c>
      <c r="F25" s="61" t="e">
        <f t="shared" ca="1" si="5"/>
        <v>#VALUE!</v>
      </c>
      <c r="G25" s="61" t="e">
        <f t="shared" ca="1" si="5"/>
        <v>#VALUE!</v>
      </c>
      <c r="H25" s="61" t="e">
        <f t="shared" ca="1" si="5"/>
        <v>#VALUE!</v>
      </c>
      <c r="I25" s="61" t="e">
        <f t="shared" ca="1" si="5"/>
        <v>#VALUE!</v>
      </c>
      <c r="J25" s="61" t="e">
        <f t="shared" ca="1" si="5"/>
        <v>#VALUE!</v>
      </c>
      <c r="K25" s="61" t="e">
        <f t="shared" ca="1" si="5"/>
        <v>#VALUE!</v>
      </c>
      <c r="L25" s="61" t="e">
        <f t="shared" ca="1" si="5"/>
        <v>#VALUE!</v>
      </c>
      <c r="M25" s="61" t="e">
        <f t="shared" ca="1" si="5"/>
        <v>#VALUE!</v>
      </c>
    </row>
    <row r="26" spans="1:13" ht="32.25" customHeight="1" x14ac:dyDescent="0.3">
      <c r="A26" s="60" t="s">
        <v>464</v>
      </c>
      <c r="C26" s="61" t="e">
        <f t="shared" ref="C26:M26" ca="1" si="6">IF(C13=0,"-",C9/C13)</f>
        <v>#VALUE!</v>
      </c>
      <c r="D26" s="61" t="e">
        <f t="shared" ca="1" si="6"/>
        <v>#VALUE!</v>
      </c>
      <c r="E26" s="61" t="e">
        <f t="shared" ca="1" si="6"/>
        <v>#VALUE!</v>
      </c>
      <c r="F26" s="61" t="e">
        <f t="shared" ca="1" si="6"/>
        <v>#VALUE!</v>
      </c>
      <c r="G26" s="61" t="e">
        <f t="shared" ca="1" si="6"/>
        <v>#VALUE!</v>
      </c>
      <c r="H26" s="61" t="e">
        <f t="shared" ca="1" si="6"/>
        <v>#VALUE!</v>
      </c>
      <c r="I26" s="61" t="e">
        <f t="shared" ca="1" si="6"/>
        <v>#VALUE!</v>
      </c>
      <c r="J26" s="61" t="e">
        <f t="shared" ca="1" si="6"/>
        <v>#VALUE!</v>
      </c>
      <c r="K26" s="61" t="e">
        <f t="shared" ca="1" si="6"/>
        <v>#VALUE!</v>
      </c>
      <c r="L26" s="61" t="e">
        <f t="shared" ca="1" si="6"/>
        <v>#VALUE!</v>
      </c>
      <c r="M26" s="61" t="e">
        <f t="shared" ca="1" si="6"/>
        <v>#VALUE!</v>
      </c>
    </row>
    <row r="27" spans="1:13" x14ac:dyDescent="0.3">
      <c r="A27" s="60" t="s">
        <v>465</v>
      </c>
      <c r="C27" s="61" t="e">
        <f t="shared" ref="C27:M27" ca="1" si="7">IF(C16=0,"-",C18/C16)</f>
        <v>#VALUE!</v>
      </c>
      <c r="D27" s="61" t="e">
        <f t="shared" ca="1" si="7"/>
        <v>#VALUE!</v>
      </c>
      <c r="E27" s="61" t="e">
        <f t="shared" ca="1" si="7"/>
        <v>#VALUE!</v>
      </c>
      <c r="F27" s="61" t="e">
        <f t="shared" ca="1" si="7"/>
        <v>#VALUE!</v>
      </c>
      <c r="G27" s="61" t="e">
        <f t="shared" ca="1" si="7"/>
        <v>#VALUE!</v>
      </c>
      <c r="H27" s="61" t="e">
        <f t="shared" ca="1" si="7"/>
        <v>#VALUE!</v>
      </c>
      <c r="I27" s="61" t="e">
        <f t="shared" ca="1" si="7"/>
        <v>#VALUE!</v>
      </c>
      <c r="J27" s="61" t="e">
        <f t="shared" ca="1" si="7"/>
        <v>#VALUE!</v>
      </c>
      <c r="K27" s="61" t="e">
        <f t="shared" ca="1" si="7"/>
        <v>#VALUE!</v>
      </c>
      <c r="L27" s="61" t="e">
        <f t="shared" ca="1" si="7"/>
        <v>#VALUE!</v>
      </c>
      <c r="M27" s="61" t="e">
        <f t="shared" ca="1" si="7"/>
        <v>#VALUE!</v>
      </c>
    </row>
    <row r="28" spans="1:13" ht="35.4" x14ac:dyDescent="0.3">
      <c r="A28" s="60" t="s">
        <v>466</v>
      </c>
      <c r="B28" s="48" t="s">
        <v>467</v>
      </c>
      <c r="C28" s="61">
        <f>IF(GlobalBankCo!C4=0,"-",ClearCo!C4/GlobalBankCo!C4)</f>
        <v>0.77100000000000002</v>
      </c>
      <c r="D28" s="61">
        <f>IF(GlobalBankCo!D4=0,"-",ClearCo!D4/GlobalBankCo!D4)</f>
        <v>0.3</v>
      </c>
      <c r="E28" s="61">
        <f>IF(GlobalBankCo!E4=0,"-",ClearCo!E4/GlobalBankCo!E4)</f>
        <v>0.35</v>
      </c>
      <c r="F28" s="61">
        <f>IF(GlobalBankCo!F4=0,"-",ClearCo!F4/GlobalBankCo!F4)</f>
        <v>0.4</v>
      </c>
      <c r="G28" s="61">
        <f>IF(GlobalBankCo!G4=0,"-",ClearCo!G4/GlobalBankCo!G4)</f>
        <v>0.5</v>
      </c>
      <c r="H28" s="61">
        <f>IF(GlobalBankCo!H4=0,"-",ClearCo!H4/GlobalBankCo!H4)</f>
        <v>0.55000000000000004</v>
      </c>
      <c r="I28" s="61">
        <f>IF(GlobalBankCo!I4=0,"-",ClearCo!I4/GlobalBankCo!I4)</f>
        <v>0.7</v>
      </c>
      <c r="J28" s="61">
        <f>IF(GlobalBankCo!J4=0,"-",ClearCo!J4/GlobalBankCo!J4)</f>
        <v>0.72</v>
      </c>
      <c r="K28" s="61">
        <f>IF(GlobalBankCo!K4=0,"-",ClearCo!K4/GlobalBankCo!K4)</f>
        <v>0.75</v>
      </c>
      <c r="L28" s="61">
        <f>IF(GlobalBankCo!L4=0,"-",ClearCo!L4/GlobalBankCo!L4)</f>
        <v>0.76</v>
      </c>
      <c r="M28" s="61">
        <f>IF(GlobalBankCo!M4=0,"-",ClearCo!M4/GlobalBankCo!M4)</f>
        <v>0.76</v>
      </c>
    </row>
    <row r="30" spans="1:13" x14ac:dyDescent="0.3">
      <c r="A30" s="168" t="s">
        <v>468</v>
      </c>
      <c r="B30" s="208" t="s">
        <v>469</v>
      </c>
      <c r="C30" s="245" t="e">
        <f ca="1">GovCo!C21*MEASURES!C47</f>
        <v>#VALUE!</v>
      </c>
      <c r="D30" s="245" t="e">
        <f ca="1">GovCo!D21*MEASURES!D47</f>
        <v>#VALUE!</v>
      </c>
      <c r="E30" s="245" t="e">
        <f ca="1">GovCo!E21*MEASURES!E47</f>
        <v>#VALUE!</v>
      </c>
      <c r="F30" s="245" t="e">
        <f ca="1">GovCo!F21*MEASURES!F47</f>
        <v>#VALUE!</v>
      </c>
      <c r="G30" s="245" t="e">
        <f ca="1">GovCo!G21*MEASURES!G47</f>
        <v>#VALUE!</v>
      </c>
      <c r="H30" s="245" t="e">
        <f ca="1">GovCo!H21*MEASURES!H47</f>
        <v>#VALUE!</v>
      </c>
      <c r="I30" s="245" t="e">
        <f ca="1">GovCo!I21*MEASURES!I47</f>
        <v>#VALUE!</v>
      </c>
      <c r="J30" s="245" t="e">
        <f ca="1">GovCo!J21*MEASURES!J47</f>
        <v>#VALUE!</v>
      </c>
      <c r="K30" s="245" t="e">
        <f ca="1">GovCo!K21*MEASURES!K47</f>
        <v>#VALUE!</v>
      </c>
      <c r="L30" s="245" t="e">
        <f ca="1">GovCo!L21*MEASURES!L47</f>
        <v>#VALUE!</v>
      </c>
      <c r="M30" s="245" t="e">
        <f ca="1">GovCo!M21*MEASURES!M47</f>
        <v>#VALUE!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workbookViewId="0"/>
  </sheetViews>
  <sheetFormatPr defaultRowHeight="14.4" x14ac:dyDescent="0.3"/>
  <cols>
    <col min="1" max="1" width="52" customWidth="1"/>
    <col min="2" max="2" width="45" customWidth="1"/>
    <col min="3" max="13" width="10" customWidth="1"/>
  </cols>
  <sheetData>
    <row r="1" spans="1:13" x14ac:dyDescent="0.3">
      <c r="A1" s="268" t="s">
        <v>470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x14ac:dyDescent="0.3">
      <c r="A2" s="272" t="s">
        <v>471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</row>
    <row r="3" spans="1:13" ht="24.6" x14ac:dyDescent="0.3">
      <c r="A3" s="165" t="s">
        <v>106</v>
      </c>
      <c r="B3" s="165" t="s">
        <v>107</v>
      </c>
      <c r="C3" s="171" t="s">
        <v>108</v>
      </c>
      <c r="D3" s="171" t="s">
        <v>109</v>
      </c>
      <c r="E3" s="171" t="s">
        <v>110</v>
      </c>
      <c r="F3" s="171" t="s">
        <v>111</v>
      </c>
      <c r="G3" s="171" t="s">
        <v>112</v>
      </c>
      <c r="H3" s="171" t="s">
        <v>113</v>
      </c>
      <c r="I3" s="171" t="s">
        <v>114</v>
      </c>
      <c r="J3" s="171" t="s">
        <v>115</v>
      </c>
      <c r="K3" s="171" t="s">
        <v>116</v>
      </c>
      <c r="L3" s="171" t="s">
        <v>117</v>
      </c>
      <c r="M3" s="171" t="s">
        <v>118</v>
      </c>
    </row>
    <row r="4" spans="1:13" x14ac:dyDescent="0.3">
      <c r="A4" s="277" t="s">
        <v>404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</row>
    <row r="5" spans="1:13" x14ac:dyDescent="0.3">
      <c r="A5" s="172" t="s">
        <v>472</v>
      </c>
      <c r="B5" s="173" t="s">
        <v>473</v>
      </c>
      <c r="C5" s="217">
        <f>FinServCo!C9-FinServCo!C11-FinServCo!C12</f>
        <v>-35</v>
      </c>
      <c r="D5" s="217">
        <f>FinServCo!D9-FinServCo!D11-FinServCo!D12</f>
        <v>-36</v>
      </c>
      <c r="E5" s="217">
        <f>FinServCo!E9-FinServCo!E11-FinServCo!E12</f>
        <v>-36.92</v>
      </c>
      <c r="F5" s="217">
        <f>FinServCo!F9-FinServCo!F11-FinServCo!F12</f>
        <v>-38.910399999999996</v>
      </c>
      <c r="G5" s="217">
        <f>FinServCo!G9-FinServCo!G11-FinServCo!G12</f>
        <v>-39.135168</v>
      </c>
      <c r="H5" s="217">
        <f>FinServCo!H9-FinServCo!H11-FinServCo!H12</f>
        <v>-40.534091519999997</v>
      </c>
      <c r="I5" s="217">
        <f>FinServCo!I9-FinServCo!I11-FinServCo!I12</f>
        <v>-42.288864332799989</v>
      </c>
      <c r="J5" s="217">
        <f>FinServCo!J9-FinServCo!J11-FinServCo!J12</f>
        <v>-42.590639409407984</v>
      </c>
      <c r="K5" s="217">
        <f>FinServCo!K9-FinServCo!K11-FinServCo!K12</f>
        <v>-43.849703350348776</v>
      </c>
      <c r="L5" s="217">
        <f>FinServCo!L9-FinServCo!L11-FinServCo!L12</f>
        <v>-42.634673685383646</v>
      </c>
      <c r="M5" s="217">
        <f>FinServCo!M9-FinServCo!M11-FinServCo!M12</f>
        <v>-47.797553053699119</v>
      </c>
    </row>
    <row r="6" spans="1:13" x14ac:dyDescent="0.3">
      <c r="A6" s="172" t="s">
        <v>474</v>
      </c>
      <c r="B6" s="173" t="s">
        <v>475</v>
      </c>
      <c r="C6" s="174">
        <v>80</v>
      </c>
      <c r="D6" s="174">
        <v>84</v>
      </c>
      <c r="E6" s="174">
        <v>88</v>
      </c>
      <c r="F6" s="174">
        <v>94</v>
      </c>
      <c r="G6" s="174">
        <v>90</v>
      </c>
      <c r="H6" s="174">
        <v>100</v>
      </c>
      <c r="I6" s="174">
        <v>110</v>
      </c>
      <c r="J6" s="174">
        <v>115</v>
      </c>
      <c r="K6" s="174">
        <v>120</v>
      </c>
      <c r="L6" s="174">
        <v>122</v>
      </c>
      <c r="M6" s="174">
        <v>108</v>
      </c>
    </row>
    <row r="7" spans="1:13" x14ac:dyDescent="0.3">
      <c r="A7" s="172" t="s">
        <v>476</v>
      </c>
      <c r="B7" s="173" t="s">
        <v>477</v>
      </c>
      <c r="C7" s="174">
        <f>ASSUMPTIONS!C5*0.25</f>
        <v>70</v>
      </c>
      <c r="D7" s="174">
        <f>ASSUMPTIONS!D5*0.25</f>
        <v>71.75</v>
      </c>
      <c r="E7" s="174">
        <f>ASSUMPTIONS!E5*0.25</f>
        <v>73.5</v>
      </c>
      <c r="F7" s="174">
        <f>ASSUMPTIONS!F5*0.25</f>
        <v>75.5</v>
      </c>
      <c r="G7" s="174">
        <f>ASSUMPTIONS!G5*0.25</f>
        <v>72</v>
      </c>
      <c r="H7" s="174">
        <f>ASSUMPTIONS!H5*0.25</f>
        <v>75</v>
      </c>
      <c r="I7" s="174">
        <f>ASSUMPTIONS!I5*0.25</f>
        <v>77</v>
      </c>
      <c r="J7" s="174">
        <f>ASSUMPTIONS!J5*0.25</f>
        <v>78.75</v>
      </c>
      <c r="K7" s="174">
        <f>ASSUMPTIONS!K5*0.25</f>
        <v>80</v>
      </c>
      <c r="L7" s="174">
        <f>ASSUMPTIONS!L5*0.25</f>
        <v>79.5</v>
      </c>
      <c r="M7" s="174">
        <f>ASSUMPTIONS!M5*0.25</f>
        <v>75</v>
      </c>
    </row>
    <row r="8" spans="1:13" x14ac:dyDescent="0.3">
      <c r="A8" s="172" t="s">
        <v>478</v>
      </c>
      <c r="B8" s="195" t="s">
        <v>479</v>
      </c>
      <c r="C8" s="217" t="e">
        <f ca="1">28*(GovCo!C16/ASSUMPTIONS!C52)</f>
        <v>#VALUE!</v>
      </c>
      <c r="D8" s="217" t="e">
        <f ca="1">28*(GovCo!D16/ASSUMPTIONS!C52)</f>
        <v>#VALUE!</v>
      </c>
      <c r="E8" s="217" t="e">
        <f ca="1">28*(GovCo!E16/ASSUMPTIONS!C52)</f>
        <v>#VALUE!</v>
      </c>
      <c r="F8" s="217" t="e">
        <f ca="1">28*(GovCo!F16/ASSUMPTIONS!C52)</f>
        <v>#VALUE!</v>
      </c>
      <c r="G8" s="217" t="e">
        <f ca="1">28*(GovCo!G16/ASSUMPTIONS!C52)</f>
        <v>#VALUE!</v>
      </c>
      <c r="H8" s="217" t="e">
        <f ca="1">28*(GovCo!H16/ASSUMPTIONS!C52)</f>
        <v>#VALUE!</v>
      </c>
      <c r="I8" s="217" t="e">
        <f ca="1">28*(GovCo!I16/ASSUMPTIONS!C52)</f>
        <v>#VALUE!</v>
      </c>
      <c r="J8" s="217" t="e">
        <f ca="1">28*(GovCo!J16/ASSUMPTIONS!C52)</f>
        <v>#VALUE!</v>
      </c>
      <c r="K8" s="217" t="e">
        <f ca="1">28*(GovCo!K16/ASSUMPTIONS!C52)</f>
        <v>#VALUE!</v>
      </c>
      <c r="L8" s="217" t="e">
        <f ca="1">28*(GovCo!L16/ASSUMPTIONS!C52)</f>
        <v>#VALUE!</v>
      </c>
      <c r="M8" s="217" t="e">
        <f ca="1">28*(GovCo!M16/ASSUMPTIONS!C52)</f>
        <v>#VALUE!</v>
      </c>
    </row>
    <row r="9" spans="1:13" x14ac:dyDescent="0.3">
      <c r="A9" s="175" t="s">
        <v>409</v>
      </c>
      <c r="B9" s="173"/>
      <c r="C9" s="223" t="e">
        <f t="shared" ref="C9:M9" ca="1" si="0">SUM(C5:C8)</f>
        <v>#VALUE!</v>
      </c>
      <c r="D9" s="223" t="e">
        <f t="shared" ca="1" si="0"/>
        <v>#VALUE!</v>
      </c>
      <c r="E9" s="223" t="e">
        <f t="shared" ca="1" si="0"/>
        <v>#VALUE!</v>
      </c>
      <c r="F9" s="223" t="e">
        <f t="shared" ca="1" si="0"/>
        <v>#VALUE!</v>
      </c>
      <c r="G9" s="223" t="e">
        <f t="shared" ca="1" si="0"/>
        <v>#VALUE!</v>
      </c>
      <c r="H9" s="223" t="e">
        <f t="shared" ca="1" si="0"/>
        <v>#VALUE!</v>
      </c>
      <c r="I9" s="223" t="e">
        <f t="shared" ca="1" si="0"/>
        <v>#VALUE!</v>
      </c>
      <c r="J9" s="223" t="e">
        <f t="shared" ca="1" si="0"/>
        <v>#VALUE!</v>
      </c>
      <c r="K9" s="223" t="e">
        <f t="shared" ca="1" si="0"/>
        <v>#VALUE!</v>
      </c>
      <c r="L9" s="223" t="e">
        <f t="shared" ca="1" si="0"/>
        <v>#VALUE!</v>
      </c>
      <c r="M9" s="223" t="e">
        <f t="shared" ca="1" si="0"/>
        <v>#VALUE!</v>
      </c>
    </row>
    <row r="10" spans="1:13" x14ac:dyDescent="0.3">
      <c r="A10" s="278" t="s">
        <v>410</v>
      </c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59"/>
    </row>
    <row r="11" spans="1:13" x14ac:dyDescent="0.3">
      <c r="A11" s="176" t="s">
        <v>480</v>
      </c>
      <c r="B11" s="177" t="s">
        <v>481</v>
      </c>
      <c r="C11" s="178">
        <v>60</v>
      </c>
      <c r="D11" s="178">
        <v>62</v>
      </c>
      <c r="E11" s="178">
        <v>64</v>
      </c>
      <c r="F11" s="178">
        <v>67</v>
      </c>
      <c r="G11" s="178">
        <v>65</v>
      </c>
      <c r="H11" s="178">
        <v>68</v>
      </c>
      <c r="I11" s="178">
        <v>72</v>
      </c>
      <c r="J11" s="178">
        <v>74</v>
      </c>
      <c r="K11" s="178">
        <v>76</v>
      </c>
      <c r="L11" s="178">
        <v>78</v>
      </c>
      <c r="M11" s="178">
        <v>80</v>
      </c>
    </row>
    <row r="12" spans="1:13" x14ac:dyDescent="0.3">
      <c r="A12" s="176" t="s">
        <v>482</v>
      </c>
      <c r="B12" s="177" t="s">
        <v>483</v>
      </c>
      <c r="C12" s="178">
        <v>25</v>
      </c>
      <c r="D12" s="178">
        <v>26</v>
      </c>
      <c r="E12" s="178">
        <v>27</v>
      </c>
      <c r="F12" s="178">
        <v>28</v>
      </c>
      <c r="G12" s="178">
        <v>28</v>
      </c>
      <c r="H12" s="178">
        <v>29</v>
      </c>
      <c r="I12" s="178">
        <v>30</v>
      </c>
      <c r="J12" s="178">
        <v>31</v>
      </c>
      <c r="K12" s="178">
        <v>32</v>
      </c>
      <c r="L12" s="178">
        <v>33</v>
      </c>
      <c r="M12" s="178">
        <v>34</v>
      </c>
    </row>
    <row r="13" spans="1:13" x14ac:dyDescent="0.3">
      <c r="A13" s="179" t="s">
        <v>418</v>
      </c>
      <c r="B13" s="177"/>
      <c r="C13" s="178">
        <f t="shared" ref="C13:M13" si="1">SUM(C11:C12)</f>
        <v>85</v>
      </c>
      <c r="D13" s="178">
        <f t="shared" si="1"/>
        <v>88</v>
      </c>
      <c r="E13" s="178">
        <f t="shared" si="1"/>
        <v>91</v>
      </c>
      <c r="F13" s="178">
        <f t="shared" si="1"/>
        <v>95</v>
      </c>
      <c r="G13" s="178">
        <f t="shared" si="1"/>
        <v>93</v>
      </c>
      <c r="H13" s="178">
        <f t="shared" si="1"/>
        <v>97</v>
      </c>
      <c r="I13" s="178">
        <f t="shared" si="1"/>
        <v>102</v>
      </c>
      <c r="J13" s="178">
        <f t="shared" si="1"/>
        <v>105</v>
      </c>
      <c r="K13" s="178">
        <f t="shared" si="1"/>
        <v>108</v>
      </c>
      <c r="L13" s="178">
        <f t="shared" si="1"/>
        <v>111</v>
      </c>
      <c r="M13" s="178">
        <f t="shared" si="1"/>
        <v>114</v>
      </c>
    </row>
    <row r="14" spans="1:13" x14ac:dyDescent="0.3">
      <c r="A14" s="218" t="s">
        <v>484</v>
      </c>
      <c r="B14" s="208" t="s">
        <v>485</v>
      </c>
      <c r="C14" s="216" t="e">
        <f t="shared" ref="C14:M14" ca="1" si="2">C9-C13</f>
        <v>#VALUE!</v>
      </c>
      <c r="D14" s="216" t="e">
        <f t="shared" ca="1" si="2"/>
        <v>#VALUE!</v>
      </c>
      <c r="E14" s="216" t="e">
        <f t="shared" ca="1" si="2"/>
        <v>#VALUE!</v>
      </c>
      <c r="F14" s="216" t="e">
        <f t="shared" ca="1" si="2"/>
        <v>#VALUE!</v>
      </c>
      <c r="G14" s="216" t="e">
        <f t="shared" ca="1" si="2"/>
        <v>#VALUE!</v>
      </c>
      <c r="H14" s="216" t="e">
        <f t="shared" ca="1" si="2"/>
        <v>#VALUE!</v>
      </c>
      <c r="I14" s="216" t="e">
        <f t="shared" ca="1" si="2"/>
        <v>#VALUE!</v>
      </c>
      <c r="J14" s="216" t="e">
        <f t="shared" ca="1" si="2"/>
        <v>#VALUE!</v>
      </c>
      <c r="K14" s="216" t="e">
        <f t="shared" ca="1" si="2"/>
        <v>#VALUE!</v>
      </c>
      <c r="L14" s="216" t="e">
        <f t="shared" ca="1" si="2"/>
        <v>#VALUE!</v>
      </c>
      <c r="M14" s="216" t="e">
        <f t="shared" ca="1" si="2"/>
        <v>#VALUE!</v>
      </c>
    </row>
    <row r="15" spans="1:13" x14ac:dyDescent="0.3">
      <c r="A15" s="180" t="s">
        <v>486</v>
      </c>
      <c r="B15" s="193" t="s">
        <v>487</v>
      </c>
      <c r="C15" s="182">
        <f>ManuCo!C12</f>
        <v>80</v>
      </c>
      <c r="D15" s="182">
        <f>ManuCo!D12</f>
        <v>79</v>
      </c>
      <c r="E15" s="182">
        <f>ManuCo!E12</f>
        <v>78</v>
      </c>
      <c r="F15" s="182">
        <f>ManuCo!F12</f>
        <v>77</v>
      </c>
      <c r="G15" s="182">
        <f>ManuCo!G12</f>
        <v>70</v>
      </c>
      <c r="H15" s="182">
        <f>ManuCo!H12</f>
        <v>72</v>
      </c>
      <c r="I15" s="182">
        <f>ManuCo!I12</f>
        <v>73</v>
      </c>
      <c r="J15" s="182">
        <f>ManuCo!J12</f>
        <v>72</v>
      </c>
      <c r="K15" s="182">
        <f>ManuCo!K12</f>
        <v>71</v>
      </c>
      <c r="L15" s="182">
        <f>ManuCo!L12</f>
        <v>69</v>
      </c>
      <c r="M15" s="182">
        <f>ManuCo!M12</f>
        <v>65</v>
      </c>
    </row>
    <row r="16" spans="1:13" x14ac:dyDescent="0.3">
      <c r="A16" s="180" t="s">
        <v>488</v>
      </c>
      <c r="B16" s="193" t="s">
        <v>489</v>
      </c>
      <c r="C16" s="182">
        <f>ProdServiceCo!C12</f>
        <v>60</v>
      </c>
      <c r="D16" s="182">
        <f>ProdServiceCo!D12</f>
        <v>63</v>
      </c>
      <c r="E16" s="182">
        <f>ProdServiceCo!E12</f>
        <v>67</v>
      </c>
      <c r="F16" s="182">
        <f>ProdServiceCo!F12</f>
        <v>72</v>
      </c>
      <c r="G16" s="182">
        <f>ProdServiceCo!G12</f>
        <v>68</v>
      </c>
      <c r="H16" s="182">
        <f>ProdServiceCo!H12</f>
        <v>78</v>
      </c>
      <c r="I16" s="182">
        <f>ProdServiceCo!I12</f>
        <v>88</v>
      </c>
      <c r="J16" s="182">
        <f>ProdServiceCo!J12</f>
        <v>96</v>
      </c>
      <c r="K16" s="182">
        <f>ProdServiceCo!K12</f>
        <v>105</v>
      </c>
      <c r="L16" s="182">
        <f>ProdServiceCo!L12</f>
        <v>112</v>
      </c>
      <c r="M16" s="182">
        <f>ProdServiceCo!M12</f>
        <v>108</v>
      </c>
    </row>
    <row r="17" spans="1:13" x14ac:dyDescent="0.3">
      <c r="A17" s="180" t="s">
        <v>490</v>
      </c>
      <c r="B17" s="193" t="s">
        <v>491</v>
      </c>
      <c r="C17" s="182">
        <f>FinServCo!C15</f>
        <v>105</v>
      </c>
      <c r="D17" s="182">
        <f>FinServCo!D15</f>
        <v>111</v>
      </c>
      <c r="E17" s="182">
        <f>FinServCo!E15</f>
        <v>118.71000000000001</v>
      </c>
      <c r="F17" s="182">
        <f>FinServCo!F15</f>
        <v>128.24680000000001</v>
      </c>
      <c r="G17" s="182">
        <f>FinServCo!G15</f>
        <v>148.55850000000001</v>
      </c>
      <c r="H17" s="182">
        <f>FinServCo!H15</f>
        <v>169.87020000000001</v>
      </c>
      <c r="I17" s="182">
        <f>FinServCo!I15</f>
        <v>190.65073000000001</v>
      </c>
      <c r="J17" s="182">
        <f>FinServCo!J15</f>
        <v>206.21580300000002</v>
      </c>
      <c r="K17" s="182">
        <f>FinServCo!K15</f>
        <v>221.51306724000003</v>
      </c>
      <c r="L17" s="182">
        <f>FinServCo!L15</f>
        <v>231.78872060200004</v>
      </c>
      <c r="M17" s="182">
        <f>FinServCo!M15</f>
        <v>251.55702869230004</v>
      </c>
    </row>
    <row r="18" spans="1:13" x14ac:dyDescent="0.3">
      <c r="A18" s="188" t="s">
        <v>492</v>
      </c>
      <c r="B18" s="181" t="s">
        <v>493</v>
      </c>
      <c r="C18" s="182">
        <f t="shared" ref="C18:M18" si="3">SUM(C15:C17)</f>
        <v>245</v>
      </c>
      <c r="D18" s="182">
        <f t="shared" si="3"/>
        <v>253</v>
      </c>
      <c r="E18" s="182">
        <f t="shared" si="3"/>
        <v>263.71000000000004</v>
      </c>
      <c r="F18" s="182">
        <f t="shared" si="3"/>
        <v>277.24680000000001</v>
      </c>
      <c r="G18" s="182">
        <f t="shared" si="3"/>
        <v>286.55849999999998</v>
      </c>
      <c r="H18" s="182">
        <f t="shared" si="3"/>
        <v>319.87020000000001</v>
      </c>
      <c r="I18" s="182">
        <f t="shared" si="3"/>
        <v>351.65073000000001</v>
      </c>
      <c r="J18" s="182">
        <f t="shared" si="3"/>
        <v>374.21580300000005</v>
      </c>
      <c r="K18" s="182">
        <f t="shared" si="3"/>
        <v>397.51306724000005</v>
      </c>
      <c r="L18" s="182">
        <f t="shared" si="3"/>
        <v>412.78872060200001</v>
      </c>
      <c r="M18" s="182">
        <f t="shared" si="3"/>
        <v>424.55702869230004</v>
      </c>
    </row>
    <row r="19" spans="1:13" x14ac:dyDescent="0.3">
      <c r="A19" s="276" t="s">
        <v>424</v>
      </c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</row>
    <row r="20" spans="1:13" x14ac:dyDescent="0.3">
      <c r="A20" s="189" t="s">
        <v>494</v>
      </c>
      <c r="B20" s="184" t="s">
        <v>495</v>
      </c>
      <c r="C20" s="185">
        <f>IF(ASSUMPTIONS!C5=0,"-",C18/ASSUMPTIONS!C5)</f>
        <v>0.875</v>
      </c>
      <c r="D20" s="185">
        <f>IF(ASSUMPTIONS!D5=0,"-",D18/ASSUMPTIONS!D5)</f>
        <v>0.88153310104529614</v>
      </c>
      <c r="E20" s="185">
        <f>IF(ASSUMPTIONS!E5=0,"-",E18/ASSUMPTIONS!E5)</f>
        <v>0.89697278911564637</v>
      </c>
      <c r="F20" s="185">
        <f>IF(ASSUMPTIONS!F5=0,"-",F18/ASSUMPTIONS!F5)</f>
        <v>0.91803576158940403</v>
      </c>
      <c r="G20" s="185">
        <f>IF(ASSUMPTIONS!G5=0,"-",G18/ASSUMPTIONS!G5)</f>
        <v>0.9949947916666666</v>
      </c>
      <c r="H20" s="185">
        <f>IF(ASSUMPTIONS!H5=0,"-",H18/ASSUMPTIONS!H5)</f>
        <v>1.0662340000000001</v>
      </c>
      <c r="I20" s="185">
        <f>IF(ASSUMPTIONS!I5=0,"-",I18/ASSUMPTIONS!I5)</f>
        <v>1.1417231493506494</v>
      </c>
      <c r="J20" s="185">
        <f>IF(ASSUMPTIONS!J5=0,"-",J18/ASSUMPTIONS!J5)</f>
        <v>1.1879866761904763</v>
      </c>
      <c r="K20" s="185">
        <f>IF(ASSUMPTIONS!K5=0,"-",K18/ASSUMPTIONS!K5)</f>
        <v>1.2422283351250001</v>
      </c>
      <c r="L20" s="185">
        <f>IF(ASSUMPTIONS!L5=0,"-",L18/ASSUMPTIONS!L5)</f>
        <v>1.2980777377421384</v>
      </c>
      <c r="M20" s="185">
        <f>IF(ASSUMPTIONS!M5=0,"-",M18/ASSUMPTIONS!M5)</f>
        <v>1.4151900956410002</v>
      </c>
    </row>
    <row r="21" spans="1:13" x14ac:dyDescent="0.3">
      <c r="A21" s="183" t="s">
        <v>496</v>
      </c>
      <c r="B21" s="184" t="s">
        <v>497</v>
      </c>
      <c r="C21" s="185">
        <f t="shared" ref="C21:M21" si="4">IF(C18=0,"-",C15/C18)</f>
        <v>0.32653061224489793</v>
      </c>
      <c r="D21" s="185">
        <f t="shared" si="4"/>
        <v>0.31225296442687744</v>
      </c>
      <c r="E21" s="185">
        <f t="shared" si="4"/>
        <v>0.29577945470403089</v>
      </c>
      <c r="F21" s="185">
        <f t="shared" si="4"/>
        <v>0.27773088814731134</v>
      </c>
      <c r="G21" s="185">
        <f t="shared" si="4"/>
        <v>0.2442782189326089</v>
      </c>
      <c r="H21" s="185">
        <f t="shared" si="4"/>
        <v>0.22509130265964131</v>
      </c>
      <c r="I21" s="185">
        <f t="shared" si="4"/>
        <v>0.2075923459621426</v>
      </c>
      <c r="J21" s="185">
        <f t="shared" si="4"/>
        <v>0.19240235025563576</v>
      </c>
      <c r="K21" s="185">
        <f t="shared" si="4"/>
        <v>0.17861048063895085</v>
      </c>
      <c r="L21" s="185">
        <f t="shared" si="4"/>
        <v>0.16715573017443947</v>
      </c>
      <c r="M21" s="185">
        <f t="shared" si="4"/>
        <v>0.15310075115281885</v>
      </c>
    </row>
    <row r="22" spans="1:13" x14ac:dyDescent="0.3">
      <c r="A22" s="183" t="s">
        <v>498</v>
      </c>
      <c r="B22" s="184" t="s">
        <v>499</v>
      </c>
      <c r="C22" s="185" t="e">
        <f t="shared" ref="C22:M22" ca="1" si="5">IF(C18=0,"-",C9/C18)</f>
        <v>#VALUE!</v>
      </c>
      <c r="D22" s="185" t="e">
        <f t="shared" ca="1" si="5"/>
        <v>#VALUE!</v>
      </c>
      <c r="E22" s="185" t="e">
        <f t="shared" ca="1" si="5"/>
        <v>#VALUE!</v>
      </c>
      <c r="F22" s="185" t="e">
        <f t="shared" ca="1" si="5"/>
        <v>#VALUE!</v>
      </c>
      <c r="G22" s="185" t="e">
        <f t="shared" ca="1" si="5"/>
        <v>#VALUE!</v>
      </c>
      <c r="H22" s="185" t="e">
        <f t="shared" ca="1" si="5"/>
        <v>#VALUE!</v>
      </c>
      <c r="I22" s="185" t="e">
        <f t="shared" ca="1" si="5"/>
        <v>#VALUE!</v>
      </c>
      <c r="J22" s="185" t="e">
        <f t="shared" ca="1" si="5"/>
        <v>#VALUE!</v>
      </c>
      <c r="K22" s="185" t="e">
        <f t="shared" ca="1" si="5"/>
        <v>#VALUE!</v>
      </c>
      <c r="L22" s="185" t="e">
        <f t="shared" ca="1" si="5"/>
        <v>#VALUE!</v>
      </c>
      <c r="M22" s="185" t="e">
        <f t="shared" ca="1" si="5"/>
        <v>#VALUE!</v>
      </c>
    </row>
    <row r="23" spans="1:13" x14ac:dyDescent="0.3">
      <c r="A23" s="183" t="s">
        <v>500</v>
      </c>
      <c r="B23" s="184" t="s">
        <v>501</v>
      </c>
      <c r="C23" s="185">
        <f t="shared" ref="C23:M23" si="6">IF(C18=0,"-",C13/C18)</f>
        <v>0.34693877551020408</v>
      </c>
      <c r="D23" s="185">
        <f t="shared" si="6"/>
        <v>0.34782608695652173</v>
      </c>
      <c r="E23" s="185">
        <f t="shared" si="6"/>
        <v>0.34507603048803603</v>
      </c>
      <c r="F23" s="185">
        <f t="shared" si="6"/>
        <v>0.34265499187005943</v>
      </c>
      <c r="G23" s="185">
        <f t="shared" si="6"/>
        <v>0.3245410622961804</v>
      </c>
      <c r="H23" s="185">
        <f t="shared" si="6"/>
        <v>0.30324800497201676</v>
      </c>
      <c r="I23" s="185">
        <f t="shared" si="6"/>
        <v>0.29006053819367872</v>
      </c>
      <c r="J23" s="185">
        <f t="shared" si="6"/>
        <v>0.28058676078946881</v>
      </c>
      <c r="K23" s="185">
        <f t="shared" si="6"/>
        <v>0.2716891818169957</v>
      </c>
      <c r="L23" s="185">
        <f t="shared" si="6"/>
        <v>0.26890269636757658</v>
      </c>
      <c r="M23" s="185">
        <f t="shared" si="6"/>
        <v>0.26851516356032845</v>
      </c>
    </row>
  </sheetData>
  <mergeCells count="5">
    <mergeCell ref="A19:M19"/>
    <mergeCell ref="A1:M1"/>
    <mergeCell ref="A4:M4"/>
    <mergeCell ref="A2:M2"/>
    <mergeCell ref="A10:M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"/>
  <sheetViews>
    <sheetView workbookViewId="0"/>
  </sheetViews>
  <sheetFormatPr defaultRowHeight="14.4" x14ac:dyDescent="0.3"/>
  <cols>
    <col min="1" max="1" width="52" customWidth="1"/>
    <col min="2" max="2" width="45" customWidth="1"/>
    <col min="3" max="13" width="10" customWidth="1"/>
  </cols>
  <sheetData>
    <row r="1" spans="1:13" x14ac:dyDescent="0.3">
      <c r="A1" s="268" t="s">
        <v>502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x14ac:dyDescent="0.3">
      <c r="A2" s="272" t="s">
        <v>503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</row>
    <row r="3" spans="1:13" ht="24.6" x14ac:dyDescent="0.3">
      <c r="A3" s="165" t="s">
        <v>106</v>
      </c>
      <c r="B3" s="165" t="s">
        <v>107</v>
      </c>
      <c r="C3" s="171" t="s">
        <v>108</v>
      </c>
      <c r="D3" s="171" t="s">
        <v>109</v>
      </c>
      <c r="E3" s="171" t="s">
        <v>110</v>
      </c>
      <c r="F3" s="171" t="s">
        <v>111</v>
      </c>
      <c r="G3" s="171" t="s">
        <v>112</v>
      </c>
      <c r="H3" s="171" t="s">
        <v>113</v>
      </c>
      <c r="I3" s="171" t="s">
        <v>114</v>
      </c>
      <c r="J3" s="171" t="s">
        <v>115</v>
      </c>
      <c r="K3" s="171" t="s">
        <v>116</v>
      </c>
      <c r="L3" s="171" t="s">
        <v>117</v>
      </c>
      <c r="M3" s="171" t="s">
        <v>118</v>
      </c>
    </row>
    <row r="4" spans="1:13" x14ac:dyDescent="0.3">
      <c r="A4" s="277" t="s">
        <v>404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</row>
    <row r="5" spans="1:13" x14ac:dyDescent="0.3">
      <c r="A5" s="172" t="s">
        <v>504</v>
      </c>
      <c r="B5" s="173" t="s">
        <v>505</v>
      </c>
      <c r="C5" s="174">
        <v>195</v>
      </c>
      <c r="D5" s="174">
        <v>198.4</v>
      </c>
      <c r="E5" s="174">
        <v>204.8</v>
      </c>
      <c r="F5" s="174">
        <v>210.8</v>
      </c>
      <c r="G5" s="174">
        <v>198</v>
      </c>
      <c r="H5" s="174">
        <v>203.5</v>
      </c>
      <c r="I5" s="174">
        <v>208</v>
      </c>
      <c r="J5" s="174">
        <v>209</v>
      </c>
      <c r="K5" s="174">
        <v>212</v>
      </c>
      <c r="L5" s="174">
        <v>211.7</v>
      </c>
      <c r="M5" s="174">
        <v>200</v>
      </c>
    </row>
    <row r="6" spans="1:13" x14ac:dyDescent="0.3">
      <c r="A6" s="172" t="s">
        <v>506</v>
      </c>
      <c r="B6" s="173" t="s">
        <v>507</v>
      </c>
      <c r="C6" s="174">
        <v>15</v>
      </c>
      <c r="D6" s="174">
        <v>16</v>
      </c>
      <c r="E6" s="174">
        <v>16</v>
      </c>
      <c r="F6" s="174">
        <v>17</v>
      </c>
      <c r="G6" s="174">
        <v>14</v>
      </c>
      <c r="H6" s="174">
        <v>16</v>
      </c>
      <c r="I6" s="174">
        <v>17</v>
      </c>
      <c r="J6" s="174">
        <v>17</v>
      </c>
      <c r="K6" s="174">
        <v>18</v>
      </c>
      <c r="L6" s="174">
        <v>18</v>
      </c>
      <c r="M6" s="174">
        <v>16</v>
      </c>
    </row>
    <row r="7" spans="1:13" x14ac:dyDescent="0.3">
      <c r="A7" s="175" t="s">
        <v>409</v>
      </c>
      <c r="B7" s="173"/>
      <c r="C7" s="174">
        <f t="shared" ref="C7:M7" si="0">SUM(C5:C6)</f>
        <v>210</v>
      </c>
      <c r="D7" s="174">
        <f t="shared" si="0"/>
        <v>214.4</v>
      </c>
      <c r="E7" s="174">
        <f t="shared" si="0"/>
        <v>220.8</v>
      </c>
      <c r="F7" s="174">
        <f t="shared" si="0"/>
        <v>227.8</v>
      </c>
      <c r="G7" s="174">
        <f t="shared" si="0"/>
        <v>212</v>
      </c>
      <c r="H7" s="174">
        <f t="shared" si="0"/>
        <v>219.5</v>
      </c>
      <c r="I7" s="174">
        <f t="shared" si="0"/>
        <v>225</v>
      </c>
      <c r="J7" s="174">
        <f t="shared" si="0"/>
        <v>226</v>
      </c>
      <c r="K7" s="174">
        <f t="shared" si="0"/>
        <v>230</v>
      </c>
      <c r="L7" s="174">
        <f t="shared" si="0"/>
        <v>229.7</v>
      </c>
      <c r="M7" s="174">
        <f t="shared" si="0"/>
        <v>216</v>
      </c>
    </row>
    <row r="8" spans="1:13" x14ac:dyDescent="0.3">
      <c r="A8" s="278" t="s">
        <v>410</v>
      </c>
      <c r="B8" s="259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</row>
    <row r="9" spans="1:13" x14ac:dyDescent="0.3">
      <c r="A9" s="176" t="s">
        <v>508</v>
      </c>
      <c r="B9" s="177" t="s">
        <v>509</v>
      </c>
      <c r="C9" s="178">
        <v>40</v>
      </c>
      <c r="D9" s="178">
        <v>42</v>
      </c>
      <c r="E9" s="178">
        <v>44</v>
      </c>
      <c r="F9" s="178">
        <v>46</v>
      </c>
      <c r="G9" s="178">
        <v>44</v>
      </c>
      <c r="H9" s="178">
        <v>46</v>
      </c>
      <c r="I9" s="178">
        <v>48</v>
      </c>
      <c r="J9" s="178">
        <v>49</v>
      </c>
      <c r="K9" s="178">
        <v>50</v>
      </c>
      <c r="L9" s="178">
        <v>51</v>
      </c>
      <c r="M9" s="178">
        <v>52</v>
      </c>
    </row>
    <row r="10" spans="1:13" x14ac:dyDescent="0.3">
      <c r="A10" s="179" t="s">
        <v>418</v>
      </c>
      <c r="B10" s="177"/>
      <c r="C10" s="178">
        <f t="shared" ref="C10:M10" si="1">C9</f>
        <v>40</v>
      </c>
      <c r="D10" s="178">
        <f t="shared" si="1"/>
        <v>42</v>
      </c>
      <c r="E10" s="178">
        <f t="shared" si="1"/>
        <v>44</v>
      </c>
      <c r="F10" s="178">
        <f t="shared" si="1"/>
        <v>46</v>
      </c>
      <c r="G10" s="178">
        <f t="shared" si="1"/>
        <v>44</v>
      </c>
      <c r="H10" s="178">
        <f t="shared" si="1"/>
        <v>46</v>
      </c>
      <c r="I10" s="178">
        <f t="shared" si="1"/>
        <v>48</v>
      </c>
      <c r="J10" s="178">
        <f t="shared" si="1"/>
        <v>49</v>
      </c>
      <c r="K10" s="178">
        <f t="shared" si="1"/>
        <v>50</v>
      </c>
      <c r="L10" s="178">
        <f t="shared" si="1"/>
        <v>51</v>
      </c>
      <c r="M10" s="178">
        <f t="shared" si="1"/>
        <v>52</v>
      </c>
    </row>
    <row r="11" spans="1:13" x14ac:dyDescent="0.3">
      <c r="A11" s="279" t="s">
        <v>510</v>
      </c>
      <c r="B11" s="259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</row>
    <row r="12" spans="1:13" x14ac:dyDescent="0.3">
      <c r="A12" s="180" t="s">
        <v>511</v>
      </c>
      <c r="B12" s="181" t="s">
        <v>512</v>
      </c>
      <c r="C12" s="182">
        <f>ASSUMPTIONS!C59</f>
        <v>80</v>
      </c>
      <c r="D12" s="182">
        <f>ASSUMPTIONS!D59</f>
        <v>79</v>
      </c>
      <c r="E12" s="182">
        <f>ASSUMPTIONS!E59</f>
        <v>78</v>
      </c>
      <c r="F12" s="182">
        <f>ASSUMPTIONS!F59</f>
        <v>77</v>
      </c>
      <c r="G12" s="182">
        <f>ASSUMPTIONS!G59</f>
        <v>70</v>
      </c>
      <c r="H12" s="182">
        <f>ASSUMPTIONS!H59</f>
        <v>72</v>
      </c>
      <c r="I12" s="182">
        <f>ASSUMPTIONS!I59</f>
        <v>73</v>
      </c>
      <c r="J12" s="182">
        <f>ASSUMPTIONS!J59</f>
        <v>72</v>
      </c>
      <c r="K12" s="182">
        <f>ASSUMPTIONS!K59</f>
        <v>71</v>
      </c>
      <c r="L12" s="182">
        <f>ASSUMPTIONS!L59</f>
        <v>69</v>
      </c>
      <c r="M12" s="182">
        <f>ASSUMPTIONS!M59</f>
        <v>65</v>
      </c>
    </row>
    <row r="13" spans="1:13" x14ac:dyDescent="0.3">
      <c r="A13" s="180" t="s">
        <v>513</v>
      </c>
      <c r="B13" s="181" t="s">
        <v>514</v>
      </c>
      <c r="C13" s="182">
        <f>ASSUMPTIONS!C5*ASSUMPTIONS!C65</f>
        <v>28</v>
      </c>
      <c r="D13" s="182">
        <f>ASSUMPTIONS!D5*ASSUMPTIONS!D65</f>
        <v>28.126000000000001</v>
      </c>
      <c r="E13" s="182">
        <f>ASSUMPTIONS!E5*ASSUMPTIONS!E65</f>
        <v>28.224</v>
      </c>
      <c r="F13" s="182">
        <f>ASSUMPTIONS!F5*ASSUMPTIONS!F65</f>
        <v>28.388000000000002</v>
      </c>
      <c r="G13" s="182">
        <f>ASSUMPTIONS!G5*ASSUMPTIONS!G65</f>
        <v>24.48</v>
      </c>
      <c r="H13" s="182">
        <f>ASSUMPTIONS!H5*ASSUMPTIONS!H65</f>
        <v>26.4</v>
      </c>
      <c r="I13" s="182">
        <f>ASSUMPTIONS!I5*ASSUMPTIONS!I65</f>
        <v>26.488</v>
      </c>
      <c r="J13" s="182">
        <f>ASSUMPTIONS!J5*ASSUMPTIONS!J65</f>
        <v>26.46</v>
      </c>
      <c r="K13" s="182">
        <f>ASSUMPTIONS!K5*ASSUMPTIONS!K65</f>
        <v>26.240000000000002</v>
      </c>
      <c r="L13" s="182">
        <f>ASSUMPTIONS!L5*ASSUMPTIONS!L65</f>
        <v>25.44</v>
      </c>
      <c r="M13" s="182">
        <f>ASSUMPTIONS!M5*ASSUMPTIONS!M65</f>
        <v>22.5</v>
      </c>
    </row>
    <row r="14" spans="1:13" x14ac:dyDescent="0.3">
      <c r="A14" s="180" t="s">
        <v>515</v>
      </c>
      <c r="B14" s="181" t="s">
        <v>516</v>
      </c>
      <c r="C14" s="182">
        <v>110</v>
      </c>
      <c r="D14" s="182">
        <v>113</v>
      </c>
      <c r="E14" s="182">
        <v>116</v>
      </c>
      <c r="F14" s="182">
        <v>120</v>
      </c>
      <c r="G14" s="182">
        <v>102</v>
      </c>
      <c r="H14" s="182">
        <v>112</v>
      </c>
      <c r="I14" s="182">
        <v>118</v>
      </c>
      <c r="J14" s="182">
        <v>122</v>
      </c>
      <c r="K14" s="182">
        <v>126</v>
      </c>
      <c r="L14" s="182">
        <v>128</v>
      </c>
      <c r="M14" s="182">
        <v>118</v>
      </c>
    </row>
    <row r="15" spans="1:13" x14ac:dyDescent="0.3">
      <c r="A15" s="276" t="s">
        <v>424</v>
      </c>
      <c r="B15" s="259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</row>
    <row r="16" spans="1:13" x14ac:dyDescent="0.3">
      <c r="A16" s="183" t="s">
        <v>517</v>
      </c>
      <c r="B16" s="184" t="s">
        <v>518</v>
      </c>
      <c r="C16" s="185">
        <f>IF(ASSUMPTIONS!C5=0,"-",C12/ASSUMPTIONS!C5)</f>
        <v>0.2857142857142857</v>
      </c>
      <c r="D16" s="185">
        <f>IF(ASSUMPTIONS!D5=0,"-",D12/ASSUMPTIONS!D5)</f>
        <v>0.27526132404181186</v>
      </c>
      <c r="E16" s="185">
        <f>IF(ASSUMPTIONS!E5=0,"-",E12/ASSUMPTIONS!E5)</f>
        <v>0.26530612244897961</v>
      </c>
      <c r="F16" s="185">
        <f>IF(ASSUMPTIONS!F5=0,"-",F12/ASSUMPTIONS!F5)</f>
        <v>0.25496688741721857</v>
      </c>
      <c r="G16" s="185">
        <f>IF(ASSUMPTIONS!G5=0,"-",G12/ASSUMPTIONS!G5)</f>
        <v>0.24305555555555555</v>
      </c>
      <c r="H16" s="185">
        <f>IF(ASSUMPTIONS!H5=0,"-",H12/ASSUMPTIONS!H5)</f>
        <v>0.24</v>
      </c>
      <c r="I16" s="185">
        <f>IF(ASSUMPTIONS!I5=0,"-",I12/ASSUMPTIONS!I5)</f>
        <v>0.23701298701298701</v>
      </c>
      <c r="J16" s="185">
        <f>IF(ASSUMPTIONS!J5=0,"-",J12/ASSUMPTIONS!J5)</f>
        <v>0.22857142857142856</v>
      </c>
      <c r="K16" s="185">
        <f>IF(ASSUMPTIONS!K5=0,"-",K12/ASSUMPTIONS!K5)</f>
        <v>0.22187499999999999</v>
      </c>
      <c r="L16" s="185">
        <f>IF(ASSUMPTIONS!L5=0,"-",L12/ASSUMPTIONS!L5)</f>
        <v>0.21698113207547171</v>
      </c>
      <c r="M16" s="185">
        <f>IF(ASSUMPTIONS!M5=0,"-",M12/ASSUMPTIONS!M5)</f>
        <v>0.21666666666666667</v>
      </c>
    </row>
    <row r="17" spans="1:13" x14ac:dyDescent="0.3">
      <c r="A17" s="183" t="s">
        <v>519</v>
      </c>
      <c r="B17" s="184" t="s">
        <v>520</v>
      </c>
      <c r="C17" s="185">
        <f>ASSUMPTIONS!C65</f>
        <v>0.1</v>
      </c>
      <c r="D17" s="185">
        <f>ASSUMPTIONS!D65</f>
        <v>9.8000000000000004E-2</v>
      </c>
      <c r="E17" s="185">
        <f>ASSUMPTIONS!E65</f>
        <v>9.6000000000000002E-2</v>
      </c>
      <c r="F17" s="185">
        <f>ASSUMPTIONS!F65</f>
        <v>9.4E-2</v>
      </c>
      <c r="G17" s="185">
        <f>ASSUMPTIONS!G65</f>
        <v>8.5000000000000006E-2</v>
      </c>
      <c r="H17" s="185">
        <f>ASSUMPTIONS!H65</f>
        <v>8.7999999999999995E-2</v>
      </c>
      <c r="I17" s="185">
        <f>ASSUMPTIONS!I65</f>
        <v>8.5999999999999993E-2</v>
      </c>
      <c r="J17" s="185">
        <f>ASSUMPTIONS!J65</f>
        <v>8.4000000000000005E-2</v>
      </c>
      <c r="K17" s="185">
        <f>ASSUMPTIONS!K65</f>
        <v>8.2000000000000003E-2</v>
      </c>
      <c r="L17" s="185">
        <f>ASSUMPTIONS!L65</f>
        <v>0.08</v>
      </c>
      <c r="M17" s="185">
        <f>ASSUMPTIONS!M65</f>
        <v>7.4999999999999997E-2</v>
      </c>
    </row>
    <row r="18" spans="1:13" x14ac:dyDescent="0.3">
      <c r="A18" s="183" t="s">
        <v>521</v>
      </c>
      <c r="B18" s="184" t="s">
        <v>522</v>
      </c>
      <c r="C18" s="185">
        <f t="shared" ref="C18:M18" si="2">IF(C5=0,"-",C14/C5)</f>
        <v>0.5641025641025641</v>
      </c>
      <c r="D18" s="185">
        <f t="shared" si="2"/>
        <v>0.56955645161290325</v>
      </c>
      <c r="E18" s="185">
        <f t="shared" si="2"/>
        <v>0.56640625</v>
      </c>
      <c r="F18" s="185">
        <f t="shared" si="2"/>
        <v>0.56925996204933582</v>
      </c>
      <c r="G18" s="185">
        <f t="shared" si="2"/>
        <v>0.51515151515151514</v>
      </c>
      <c r="H18" s="185">
        <f t="shared" si="2"/>
        <v>0.55036855036855037</v>
      </c>
      <c r="I18" s="185">
        <f t="shared" si="2"/>
        <v>0.56730769230769229</v>
      </c>
      <c r="J18" s="185">
        <f t="shared" si="2"/>
        <v>0.58373205741626799</v>
      </c>
      <c r="K18" s="185">
        <f t="shared" si="2"/>
        <v>0.59433962264150941</v>
      </c>
      <c r="L18" s="185">
        <f t="shared" si="2"/>
        <v>0.60462919225318845</v>
      </c>
      <c r="M18" s="185">
        <f t="shared" si="2"/>
        <v>0.59</v>
      </c>
    </row>
    <row r="20" spans="1:13" x14ac:dyDescent="0.3">
      <c r="A20" s="219" t="s">
        <v>523</v>
      </c>
    </row>
    <row r="21" spans="1:13" x14ac:dyDescent="0.3">
      <c r="A21" s="168" t="s">
        <v>524</v>
      </c>
      <c r="B21" s="208" t="s">
        <v>525</v>
      </c>
      <c r="C21" s="203">
        <f t="shared" ref="C21:M21" si="3">C14-C12-(C9*0.04)</f>
        <v>28.4</v>
      </c>
      <c r="D21" s="203">
        <f t="shared" si="3"/>
        <v>32.32</v>
      </c>
      <c r="E21" s="203">
        <f t="shared" si="3"/>
        <v>36.24</v>
      </c>
      <c r="F21" s="203">
        <f t="shared" si="3"/>
        <v>41.16</v>
      </c>
      <c r="G21" s="203">
        <f t="shared" si="3"/>
        <v>30.24</v>
      </c>
      <c r="H21" s="203">
        <f t="shared" si="3"/>
        <v>38.159999999999997</v>
      </c>
      <c r="I21" s="203">
        <f t="shared" si="3"/>
        <v>43.08</v>
      </c>
      <c r="J21" s="203">
        <f t="shared" si="3"/>
        <v>48.04</v>
      </c>
      <c r="K21" s="203">
        <f t="shared" si="3"/>
        <v>53</v>
      </c>
      <c r="L21" s="203">
        <f t="shared" si="3"/>
        <v>56.96</v>
      </c>
      <c r="M21" s="203">
        <f t="shared" si="3"/>
        <v>50.92</v>
      </c>
    </row>
    <row r="22" spans="1:13" x14ac:dyDescent="0.3">
      <c r="A22" s="165" t="s">
        <v>526</v>
      </c>
      <c r="B22" s="208" t="s">
        <v>527</v>
      </c>
      <c r="C22" s="216">
        <f t="shared" ref="C22:M22" si="4">C5-C9+C21</f>
        <v>183.4</v>
      </c>
      <c r="D22" s="216">
        <f t="shared" si="4"/>
        <v>188.72</v>
      </c>
      <c r="E22" s="216">
        <f t="shared" si="4"/>
        <v>197.04000000000002</v>
      </c>
      <c r="F22" s="216">
        <f t="shared" si="4"/>
        <v>205.96</v>
      </c>
      <c r="G22" s="216">
        <f t="shared" si="4"/>
        <v>184.24</v>
      </c>
      <c r="H22" s="216">
        <f t="shared" si="4"/>
        <v>195.66</v>
      </c>
      <c r="I22" s="216">
        <f t="shared" si="4"/>
        <v>203.07999999999998</v>
      </c>
      <c r="J22" s="216">
        <f t="shared" si="4"/>
        <v>208.04</v>
      </c>
      <c r="K22" s="216">
        <f t="shared" si="4"/>
        <v>215</v>
      </c>
      <c r="L22" s="216">
        <f t="shared" si="4"/>
        <v>217.66</v>
      </c>
      <c r="M22" s="216">
        <f t="shared" si="4"/>
        <v>198.92000000000002</v>
      </c>
    </row>
  </sheetData>
  <mergeCells count="6">
    <mergeCell ref="A1:M1"/>
    <mergeCell ref="A8:M8"/>
    <mergeCell ref="A4:M4"/>
    <mergeCell ref="A15:M15"/>
    <mergeCell ref="A2:M2"/>
    <mergeCell ref="A11:M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8"/>
  <sheetViews>
    <sheetView workbookViewId="0"/>
  </sheetViews>
  <sheetFormatPr defaultRowHeight="14.4" x14ac:dyDescent="0.3"/>
  <cols>
    <col min="1" max="1" width="52" customWidth="1"/>
    <col min="2" max="2" width="45" customWidth="1"/>
    <col min="3" max="13" width="10" customWidth="1"/>
  </cols>
  <sheetData>
    <row r="1" spans="1:13" x14ac:dyDescent="0.3">
      <c r="A1" s="268" t="s">
        <v>528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x14ac:dyDescent="0.3">
      <c r="A2" s="272" t="s">
        <v>529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</row>
    <row r="3" spans="1:13" ht="24.6" x14ac:dyDescent="0.3">
      <c r="A3" s="165" t="s">
        <v>106</v>
      </c>
      <c r="B3" s="165" t="s">
        <v>107</v>
      </c>
      <c r="C3" s="171" t="s">
        <v>108</v>
      </c>
      <c r="D3" s="171" t="s">
        <v>109</v>
      </c>
      <c r="E3" s="171" t="s">
        <v>110</v>
      </c>
      <c r="F3" s="171" t="s">
        <v>111</v>
      </c>
      <c r="G3" s="171" t="s">
        <v>112</v>
      </c>
      <c r="H3" s="171" t="s">
        <v>113</v>
      </c>
      <c r="I3" s="171" t="s">
        <v>114</v>
      </c>
      <c r="J3" s="171" t="s">
        <v>115</v>
      </c>
      <c r="K3" s="171" t="s">
        <v>116</v>
      </c>
      <c r="L3" s="171" t="s">
        <v>117</v>
      </c>
      <c r="M3" s="171" t="s">
        <v>118</v>
      </c>
    </row>
    <row r="4" spans="1:13" x14ac:dyDescent="0.3">
      <c r="A4" s="277" t="s">
        <v>404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</row>
    <row r="5" spans="1:13" x14ac:dyDescent="0.3">
      <c r="A5" s="172" t="s">
        <v>530</v>
      </c>
      <c r="B5" s="173" t="s">
        <v>531</v>
      </c>
      <c r="C5" s="174">
        <v>60</v>
      </c>
      <c r="D5" s="174">
        <v>65.099999999999994</v>
      </c>
      <c r="E5" s="174">
        <v>71.5</v>
      </c>
      <c r="F5" s="174">
        <v>78.2</v>
      </c>
      <c r="G5" s="174">
        <v>75.900000000000006</v>
      </c>
      <c r="H5" s="174">
        <v>82.8</v>
      </c>
      <c r="I5" s="174">
        <v>94.9</v>
      </c>
      <c r="J5" s="174">
        <v>106.4</v>
      </c>
      <c r="K5" s="174">
        <v>120</v>
      </c>
      <c r="L5" s="174">
        <v>132.80000000000001</v>
      </c>
      <c r="M5" s="174">
        <v>128</v>
      </c>
    </row>
    <row r="6" spans="1:13" x14ac:dyDescent="0.3">
      <c r="A6" s="172" t="s">
        <v>532</v>
      </c>
      <c r="B6" s="195" t="s">
        <v>533</v>
      </c>
      <c r="C6" s="174">
        <f>C14*ASSUMPTIONS!C66</f>
        <v>1210</v>
      </c>
      <c r="D6" s="174">
        <f>D14*ASSUMPTIONS!D66</f>
        <v>1416</v>
      </c>
      <c r="E6" s="174">
        <f>E14*ASSUMPTIONS!E66</f>
        <v>1664</v>
      </c>
      <c r="F6" s="174">
        <f>F14*ASSUMPTIONS!F66</f>
        <v>1960</v>
      </c>
      <c r="G6" s="174">
        <f>G14*ASSUMPTIONS!G66</f>
        <v>1560</v>
      </c>
      <c r="H6" s="174">
        <f>H14*ASSUMPTIONS!H66</f>
        <v>2730</v>
      </c>
      <c r="I6" s="174">
        <f>I14*ASSUMPTIONS!I66</f>
        <v>3420</v>
      </c>
      <c r="J6" s="174">
        <f>J14*ASSUMPTIONS!J66</f>
        <v>3168</v>
      </c>
      <c r="K6" s="174">
        <f>K14*ASSUMPTIONS!K66</f>
        <v>3300</v>
      </c>
      <c r="L6" s="174">
        <f>L14*ASSUMPTIONS!L66</f>
        <v>3304</v>
      </c>
      <c r="M6" s="174">
        <f>M14*ASSUMPTIONS!M66</f>
        <v>1980</v>
      </c>
    </row>
    <row r="7" spans="1:13" x14ac:dyDescent="0.3">
      <c r="A7" s="175" t="s">
        <v>534</v>
      </c>
      <c r="B7" s="173"/>
      <c r="C7" s="174">
        <f t="shared" ref="C7:M7" si="0">SUM(C5:C5)</f>
        <v>60</v>
      </c>
      <c r="D7" s="174">
        <f t="shared" si="0"/>
        <v>65.099999999999994</v>
      </c>
      <c r="E7" s="174">
        <f t="shared" si="0"/>
        <v>71.5</v>
      </c>
      <c r="F7" s="174">
        <f t="shared" si="0"/>
        <v>78.2</v>
      </c>
      <c r="G7" s="174">
        <f t="shared" si="0"/>
        <v>75.900000000000006</v>
      </c>
      <c r="H7" s="174">
        <f t="shared" si="0"/>
        <v>82.8</v>
      </c>
      <c r="I7" s="174">
        <f t="shared" si="0"/>
        <v>94.9</v>
      </c>
      <c r="J7" s="174">
        <f t="shared" si="0"/>
        <v>106.4</v>
      </c>
      <c r="K7" s="174">
        <f t="shared" si="0"/>
        <v>120</v>
      </c>
      <c r="L7" s="174">
        <f t="shared" si="0"/>
        <v>132.80000000000001</v>
      </c>
      <c r="M7" s="174">
        <f t="shared" si="0"/>
        <v>128</v>
      </c>
    </row>
    <row r="8" spans="1:13" x14ac:dyDescent="0.3">
      <c r="A8" s="278" t="s">
        <v>410</v>
      </c>
      <c r="B8" s="259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</row>
    <row r="9" spans="1:13" x14ac:dyDescent="0.3">
      <c r="A9" s="176" t="s">
        <v>535</v>
      </c>
      <c r="B9" s="177" t="s">
        <v>536</v>
      </c>
      <c r="C9" s="220" t="e">
        <f ca="1">FinServCo!C6+HouseholdCo!C14*ASSUMPTIONS!C71</f>
        <v>#VALUE!</v>
      </c>
      <c r="D9" s="220" t="e">
        <f ca="1">FinServCo!D6+HouseholdCo!D14*ASSUMPTIONS!C71</f>
        <v>#VALUE!</v>
      </c>
      <c r="E9" s="220" t="e">
        <f ca="1">FinServCo!E6+HouseholdCo!E14*ASSUMPTIONS!C71</f>
        <v>#VALUE!</v>
      </c>
      <c r="F9" s="220" t="e">
        <f ca="1">FinServCo!F6+HouseholdCo!F14*ASSUMPTIONS!C71</f>
        <v>#VALUE!</v>
      </c>
      <c r="G9" s="220" t="e">
        <f ca="1">FinServCo!G6+HouseholdCo!G14*ASSUMPTIONS!C71</f>
        <v>#VALUE!</v>
      </c>
      <c r="H9" s="220" t="e">
        <f ca="1">FinServCo!H6+HouseholdCo!H14*ASSUMPTIONS!C71</f>
        <v>#VALUE!</v>
      </c>
      <c r="I9" s="220" t="e">
        <f ca="1">FinServCo!I6+HouseholdCo!I14*ASSUMPTIONS!C71</f>
        <v>#VALUE!</v>
      </c>
      <c r="J9" s="220" t="e">
        <f ca="1">FinServCo!J6+HouseholdCo!J14*ASSUMPTIONS!C71</f>
        <v>#VALUE!</v>
      </c>
      <c r="K9" s="220" t="e">
        <f ca="1">FinServCo!K6+HouseholdCo!K14*ASSUMPTIONS!C71</f>
        <v>#VALUE!</v>
      </c>
      <c r="L9" s="220" t="e">
        <f ca="1">FinServCo!L6+HouseholdCo!L14*ASSUMPTIONS!C71</f>
        <v>#VALUE!</v>
      </c>
      <c r="M9" s="220" t="e">
        <f ca="1">FinServCo!M6+HouseholdCo!M14*ASSUMPTIONS!C71</f>
        <v>#VALUE!</v>
      </c>
    </row>
    <row r="10" spans="1:13" x14ac:dyDescent="0.3">
      <c r="A10" s="179" t="s">
        <v>537</v>
      </c>
      <c r="B10" s="199" t="s">
        <v>538</v>
      </c>
      <c r="C10" s="220">
        <f>FinServCo!C9</f>
        <v>20</v>
      </c>
      <c r="D10" s="220">
        <f>FinServCo!D9</f>
        <v>22</v>
      </c>
      <c r="E10" s="220">
        <f>FinServCo!E9</f>
        <v>25.080000000000002</v>
      </c>
      <c r="F10" s="220">
        <f>FinServCo!F9</f>
        <v>28.089600000000004</v>
      </c>
      <c r="G10" s="220">
        <f>FinServCo!G9</f>
        <v>32.864832</v>
      </c>
      <c r="H10" s="220">
        <f>FinServCo!H9</f>
        <v>37.465908480000003</v>
      </c>
      <c r="I10" s="220">
        <f>FinServCo!I9</f>
        <v>42.711135667200011</v>
      </c>
      <c r="J10" s="220">
        <f>FinServCo!J9</f>
        <v>47.409360590592016</v>
      </c>
      <c r="K10" s="220">
        <f>FinServCo!K9</f>
        <v>52.150296649651224</v>
      </c>
      <c r="L10" s="220">
        <f>FinServCo!L9</f>
        <v>57.365326314616354</v>
      </c>
      <c r="M10" s="220">
        <f>FinServCo!M9</f>
        <v>52.202446946300881</v>
      </c>
    </row>
    <row r="11" spans="1:13" x14ac:dyDescent="0.3">
      <c r="A11" s="218" t="s">
        <v>418</v>
      </c>
      <c r="B11" s="208" t="s">
        <v>539</v>
      </c>
      <c r="C11" s="227" t="e">
        <f t="shared" ref="C11:M11" ca="1" si="1">SUM(C9:C10)</f>
        <v>#VALUE!</v>
      </c>
      <c r="D11" s="227" t="e">
        <f t="shared" ca="1" si="1"/>
        <v>#VALUE!</v>
      </c>
      <c r="E11" s="227" t="e">
        <f t="shared" ca="1" si="1"/>
        <v>#VALUE!</v>
      </c>
      <c r="F11" s="227" t="e">
        <f t="shared" ca="1" si="1"/>
        <v>#VALUE!</v>
      </c>
      <c r="G11" s="227" t="e">
        <f t="shared" ca="1" si="1"/>
        <v>#VALUE!</v>
      </c>
      <c r="H11" s="227" t="e">
        <f t="shared" ca="1" si="1"/>
        <v>#VALUE!</v>
      </c>
      <c r="I11" s="227" t="e">
        <f t="shared" ca="1" si="1"/>
        <v>#VALUE!</v>
      </c>
      <c r="J11" s="227" t="e">
        <f t="shared" ca="1" si="1"/>
        <v>#VALUE!</v>
      </c>
      <c r="K11" s="227" t="e">
        <f t="shared" ca="1" si="1"/>
        <v>#VALUE!</v>
      </c>
      <c r="L11" s="227" t="e">
        <f t="shared" ca="1" si="1"/>
        <v>#VALUE!</v>
      </c>
      <c r="M11" s="227" t="e">
        <f t="shared" ca="1" si="1"/>
        <v>#VALUE!</v>
      </c>
    </row>
    <row r="12" spans="1:13" x14ac:dyDescent="0.3">
      <c r="A12" s="180" t="s">
        <v>540</v>
      </c>
      <c r="B12" s="181" t="s">
        <v>541</v>
      </c>
      <c r="C12" s="182">
        <f>ASSUMPTIONS!C61</f>
        <v>60</v>
      </c>
      <c r="D12" s="182">
        <f>ASSUMPTIONS!D61</f>
        <v>63</v>
      </c>
      <c r="E12" s="182">
        <f>ASSUMPTIONS!E61</f>
        <v>67</v>
      </c>
      <c r="F12" s="182">
        <f>ASSUMPTIONS!F61</f>
        <v>72</v>
      </c>
      <c r="G12" s="182">
        <f>ASSUMPTIONS!G61</f>
        <v>68</v>
      </c>
      <c r="H12" s="182">
        <f>ASSUMPTIONS!H61</f>
        <v>78</v>
      </c>
      <c r="I12" s="182">
        <f>ASSUMPTIONS!I61</f>
        <v>88</v>
      </c>
      <c r="J12" s="182">
        <f>ASSUMPTIONS!J61</f>
        <v>96</v>
      </c>
      <c r="K12" s="182">
        <f>ASSUMPTIONS!K61</f>
        <v>105</v>
      </c>
      <c r="L12" s="182">
        <f>ASSUMPTIONS!L61</f>
        <v>112</v>
      </c>
      <c r="M12" s="182">
        <f>ASSUMPTIONS!M61</f>
        <v>108</v>
      </c>
    </row>
    <row r="13" spans="1:13" x14ac:dyDescent="0.3">
      <c r="A13" s="180" t="s">
        <v>513</v>
      </c>
      <c r="B13" s="181" t="s">
        <v>542</v>
      </c>
      <c r="C13" s="182">
        <f t="shared" ref="C13:M13" si="2">C5*0.12</f>
        <v>7.1999999999999993</v>
      </c>
      <c r="D13" s="182">
        <f t="shared" si="2"/>
        <v>7.8119999999999994</v>
      </c>
      <c r="E13" s="182">
        <f t="shared" si="2"/>
        <v>8.58</v>
      </c>
      <c r="F13" s="182">
        <f t="shared" si="2"/>
        <v>9.3840000000000003</v>
      </c>
      <c r="G13" s="182">
        <f t="shared" si="2"/>
        <v>9.1080000000000005</v>
      </c>
      <c r="H13" s="182">
        <f t="shared" si="2"/>
        <v>9.9359999999999999</v>
      </c>
      <c r="I13" s="182">
        <f t="shared" si="2"/>
        <v>11.388</v>
      </c>
      <c r="J13" s="182">
        <f t="shared" si="2"/>
        <v>12.768000000000001</v>
      </c>
      <c r="K13" s="182">
        <f t="shared" si="2"/>
        <v>14.399999999999999</v>
      </c>
      <c r="L13" s="182">
        <f t="shared" si="2"/>
        <v>15.936</v>
      </c>
      <c r="M13" s="182">
        <f t="shared" si="2"/>
        <v>15.36</v>
      </c>
    </row>
    <row r="14" spans="1:13" x14ac:dyDescent="0.3">
      <c r="A14" s="180" t="s">
        <v>515</v>
      </c>
      <c r="B14" s="181" t="s">
        <v>543</v>
      </c>
      <c r="C14" s="182">
        <v>55</v>
      </c>
      <c r="D14" s="182">
        <v>59</v>
      </c>
      <c r="E14" s="182">
        <v>64</v>
      </c>
      <c r="F14" s="182">
        <v>70</v>
      </c>
      <c r="G14" s="182">
        <v>65</v>
      </c>
      <c r="H14" s="182">
        <v>78</v>
      </c>
      <c r="I14" s="182">
        <v>90</v>
      </c>
      <c r="J14" s="182">
        <v>99</v>
      </c>
      <c r="K14" s="182">
        <v>110</v>
      </c>
      <c r="L14" s="182">
        <v>118</v>
      </c>
      <c r="M14" s="182">
        <v>110</v>
      </c>
    </row>
    <row r="15" spans="1:13" x14ac:dyDescent="0.3">
      <c r="A15" s="276" t="s">
        <v>424</v>
      </c>
      <c r="B15" s="259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</row>
    <row r="16" spans="1:13" x14ac:dyDescent="0.3">
      <c r="A16" s="183" t="s">
        <v>544</v>
      </c>
      <c r="B16" s="184" t="s">
        <v>545</v>
      </c>
      <c r="C16" s="185">
        <f>IF(ASSUMPTIONS!C5=0,"-",C12/ASSUMPTIONS!C5)</f>
        <v>0.21428571428571427</v>
      </c>
      <c r="D16" s="185">
        <f>IF(ASSUMPTIONS!D5=0,"-",D12/ASSUMPTIONS!D5)</f>
        <v>0.21951219512195122</v>
      </c>
      <c r="E16" s="185">
        <f>IF(ASSUMPTIONS!E5=0,"-",E12/ASSUMPTIONS!E5)</f>
        <v>0.22789115646258504</v>
      </c>
      <c r="F16" s="185">
        <f>IF(ASSUMPTIONS!F5=0,"-",F12/ASSUMPTIONS!F5)</f>
        <v>0.23841059602649006</v>
      </c>
      <c r="G16" s="185">
        <f>IF(ASSUMPTIONS!G5=0,"-",G12/ASSUMPTIONS!G5)</f>
        <v>0.2361111111111111</v>
      </c>
      <c r="H16" s="185">
        <f>IF(ASSUMPTIONS!H5=0,"-",H12/ASSUMPTIONS!H5)</f>
        <v>0.26</v>
      </c>
      <c r="I16" s="185">
        <f>IF(ASSUMPTIONS!I5=0,"-",I12/ASSUMPTIONS!I5)</f>
        <v>0.2857142857142857</v>
      </c>
      <c r="J16" s="185">
        <f>IF(ASSUMPTIONS!J5=0,"-",J12/ASSUMPTIONS!J5)</f>
        <v>0.30476190476190479</v>
      </c>
      <c r="K16" s="185">
        <f>IF(ASSUMPTIONS!K5=0,"-",K12/ASSUMPTIONS!K5)</f>
        <v>0.328125</v>
      </c>
      <c r="L16" s="185">
        <f>IF(ASSUMPTIONS!L5=0,"-",L12/ASSUMPTIONS!L5)</f>
        <v>0.3522012578616352</v>
      </c>
      <c r="M16" s="185">
        <f>IF(ASSUMPTIONS!M5=0,"-",M12/ASSUMPTIONS!M5)</f>
        <v>0.36</v>
      </c>
    </row>
    <row r="17" spans="1:13" x14ac:dyDescent="0.3">
      <c r="A17" s="183" t="s">
        <v>546</v>
      </c>
      <c r="B17" s="184" t="s">
        <v>547</v>
      </c>
      <c r="C17" s="185">
        <f>IF(ASSUMPTIONS!C5=0,"-",C6/ASSUMPTIONS!C5)</f>
        <v>4.3214285714285712</v>
      </c>
      <c r="D17" s="185">
        <f>IF(ASSUMPTIONS!D5=0,"-",D6/ASSUMPTIONS!D5)</f>
        <v>4.9337979094076658</v>
      </c>
      <c r="E17" s="185">
        <f>IF(ASSUMPTIONS!E5=0,"-",E6/ASSUMPTIONS!E5)</f>
        <v>5.6598639455782314</v>
      </c>
      <c r="F17" s="185">
        <f>IF(ASSUMPTIONS!F5=0,"-",F6/ASSUMPTIONS!F5)</f>
        <v>6.4900662251655632</v>
      </c>
      <c r="G17" s="185">
        <f>IF(ASSUMPTIONS!G5=0,"-",G6/ASSUMPTIONS!G5)</f>
        <v>5.416666666666667</v>
      </c>
      <c r="H17" s="185">
        <f>IF(ASSUMPTIONS!H5=0,"-",H6/ASSUMPTIONS!H5)</f>
        <v>9.1</v>
      </c>
      <c r="I17" s="185">
        <f>IF(ASSUMPTIONS!I5=0,"-",I6/ASSUMPTIONS!I5)</f>
        <v>11.103896103896103</v>
      </c>
      <c r="J17" s="185">
        <f>IF(ASSUMPTIONS!J5=0,"-",J6/ASSUMPTIONS!J5)</f>
        <v>10.057142857142857</v>
      </c>
      <c r="K17" s="185">
        <f>IF(ASSUMPTIONS!K5=0,"-",K6/ASSUMPTIONS!K5)</f>
        <v>10.3125</v>
      </c>
      <c r="L17" s="185">
        <f>IF(ASSUMPTIONS!L5=0,"-",L6/ASSUMPTIONS!L5)</f>
        <v>10.389937106918239</v>
      </c>
      <c r="M17" s="185">
        <f>IF(ASSUMPTIONS!M5=0,"-",M6/ASSUMPTIONS!M5)</f>
        <v>6.6</v>
      </c>
    </row>
    <row r="18" spans="1:13" x14ac:dyDescent="0.3">
      <c r="A18" s="183" t="s">
        <v>548</v>
      </c>
      <c r="B18" s="184" t="s">
        <v>549</v>
      </c>
      <c r="C18" s="185" t="s">
        <v>550</v>
      </c>
      <c r="D18" s="185">
        <f t="shared" ref="D18:M18" si="3">IF(D14=0,"-",(D14-C14)/C14)</f>
        <v>7.2727272727272724E-2</v>
      </c>
      <c r="E18" s="185">
        <f t="shared" si="3"/>
        <v>8.4745762711864403E-2</v>
      </c>
      <c r="F18" s="185">
        <f t="shared" si="3"/>
        <v>9.375E-2</v>
      </c>
      <c r="G18" s="185">
        <f t="shared" si="3"/>
        <v>-7.1428571428571425E-2</v>
      </c>
      <c r="H18" s="185">
        <f t="shared" si="3"/>
        <v>0.2</v>
      </c>
      <c r="I18" s="185">
        <f t="shared" si="3"/>
        <v>0.15384615384615385</v>
      </c>
      <c r="J18" s="185">
        <f t="shared" si="3"/>
        <v>0.1</v>
      </c>
      <c r="K18" s="185">
        <f t="shared" si="3"/>
        <v>0.1111111111111111</v>
      </c>
      <c r="L18" s="185">
        <f t="shared" si="3"/>
        <v>7.2727272727272724E-2</v>
      </c>
      <c r="M18" s="185">
        <f t="shared" si="3"/>
        <v>-6.7796610169491525E-2</v>
      </c>
    </row>
  </sheetData>
  <mergeCells count="5">
    <mergeCell ref="A1:M1"/>
    <mergeCell ref="A8:M8"/>
    <mergeCell ref="A4:M4"/>
    <mergeCell ref="A15:M15"/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1"/>
  <sheetViews>
    <sheetView workbookViewId="0"/>
  </sheetViews>
  <sheetFormatPr defaultRowHeight="14.4" x14ac:dyDescent="0.3"/>
  <cols>
    <col min="1" max="1" width="52" customWidth="1"/>
    <col min="2" max="2" width="45" customWidth="1"/>
    <col min="3" max="13" width="10" customWidth="1"/>
  </cols>
  <sheetData>
    <row r="1" spans="1:13" x14ac:dyDescent="0.3">
      <c r="A1" s="268" t="s">
        <v>551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x14ac:dyDescent="0.3">
      <c r="A2" s="272" t="s">
        <v>552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</row>
    <row r="3" spans="1:13" ht="24.6" x14ac:dyDescent="0.3">
      <c r="A3" s="165" t="s">
        <v>106</v>
      </c>
      <c r="B3" s="165" t="s">
        <v>107</v>
      </c>
      <c r="C3" s="171" t="s">
        <v>108</v>
      </c>
      <c r="D3" s="171" t="s">
        <v>109</v>
      </c>
      <c r="E3" s="171" t="s">
        <v>110</v>
      </c>
      <c r="F3" s="171" t="s">
        <v>111</v>
      </c>
      <c r="G3" s="171" t="s">
        <v>112</v>
      </c>
      <c r="H3" s="171" t="s">
        <v>113</v>
      </c>
      <c r="I3" s="171" t="s">
        <v>114</v>
      </c>
      <c r="J3" s="171" t="s">
        <v>115</v>
      </c>
      <c r="K3" s="171" t="s">
        <v>116</v>
      </c>
      <c r="L3" s="171" t="s">
        <v>117</v>
      </c>
      <c r="M3" s="171" t="s">
        <v>118</v>
      </c>
    </row>
    <row r="4" spans="1:13" x14ac:dyDescent="0.3">
      <c r="A4" s="277" t="s">
        <v>404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</row>
    <row r="5" spans="1:13" x14ac:dyDescent="0.3">
      <c r="A5" s="213" t="s">
        <v>553</v>
      </c>
      <c r="B5" s="195" t="s">
        <v>554</v>
      </c>
      <c r="C5" s="217">
        <f>MAX(0,60-MIN(60,MAX(0,(HedgeCo!C4-ASSUMPTIONS!C70)*ASSUMPTIONS!C84*2)))</f>
        <v>60</v>
      </c>
      <c r="D5" s="217">
        <f>MAX(0,60-MIN(60,MAX(0,(HedgeCo!D4-ASSUMPTIONS!C70)*ASSUMPTIONS!C84*2)))</f>
        <v>35.445000000000007</v>
      </c>
      <c r="E5" s="217">
        <f>MAX(0,60-MIN(60,MAX(0,(HedgeCo!E4-ASSUMPTIONS!C70)*ASSUMPTIONS!C84*2)))</f>
        <v>0</v>
      </c>
      <c r="F5" s="217">
        <f>MAX(0,60-MIN(60,MAX(0,(HedgeCo!F4-ASSUMPTIONS!C70)*ASSUMPTIONS!C84*2)))</f>
        <v>0</v>
      </c>
      <c r="G5" s="217">
        <f>MAX(0,60-MIN(60,MAX(0,(HedgeCo!G4-ASSUMPTIONS!C70)*ASSUMPTIONS!C84*2)))</f>
        <v>0</v>
      </c>
      <c r="H5" s="217">
        <f>MAX(0,60-MIN(60,MAX(0,(HedgeCo!H4-ASSUMPTIONS!C70)*ASSUMPTIONS!C84*2)))</f>
        <v>0</v>
      </c>
      <c r="I5" s="217">
        <f>MAX(0,60-MIN(60,MAX(0,(HedgeCo!I4-ASSUMPTIONS!C70)*ASSUMPTIONS!C84*2)))</f>
        <v>0</v>
      </c>
      <c r="J5" s="217">
        <f>MAX(0,60-MIN(60,MAX(0,(HedgeCo!J4-ASSUMPTIONS!C70)*ASSUMPTIONS!C84*2)))</f>
        <v>0</v>
      </c>
      <c r="K5" s="217">
        <f>MAX(0,60-MIN(60,MAX(0,(HedgeCo!K4-ASSUMPTIONS!C70)*ASSUMPTIONS!C84*2)))</f>
        <v>0</v>
      </c>
      <c r="L5" s="217">
        <f>MAX(0,60-MIN(60,MAX(0,(HedgeCo!L4-ASSUMPTIONS!C70)*ASSUMPTIONS!C84*2)))</f>
        <v>0</v>
      </c>
      <c r="M5" s="217">
        <f>MAX(0,60-MIN(60,MAX(0,(HedgeCo!M4-ASSUMPTIONS!C70)*ASSUMPTIONS!C84*2)))</f>
        <v>0</v>
      </c>
    </row>
    <row r="6" spans="1:13" x14ac:dyDescent="0.3">
      <c r="A6" s="213" t="s">
        <v>555</v>
      </c>
      <c r="B6" s="195" t="s">
        <v>556</v>
      </c>
      <c r="C6" s="174">
        <f>ProdServiceCo!C6*0.15+MAX(0,HedgeCo!C4-ASSUMPTIONS!C70)</f>
        <v>181.5</v>
      </c>
      <c r="D6" s="174">
        <f>ProdServiceCo!D6*0.15+MAX(0,HedgeCo!D4-ASSUMPTIONS!C70)</f>
        <v>236.95499999999998</v>
      </c>
      <c r="E6" s="174">
        <f>ProdServiceCo!E6*0.15+MAX(0,HedgeCo!E4-ASSUMPTIONS!C70)</f>
        <v>315.55029999999999</v>
      </c>
      <c r="F6" s="174">
        <f>ProdServiceCo!F6*0.15+MAX(0,HedgeCo!F4-ASSUMPTIONS!C70)</f>
        <v>410.90747800000003</v>
      </c>
      <c r="G6" s="174">
        <f>ProdServiceCo!G6*0.15+MAX(0,HedgeCo!G4-ASSUMPTIONS!C70)</f>
        <v>396.16999708000003</v>
      </c>
      <c r="H6" s="174">
        <f>ProdServiceCo!H6*0.15+MAX(0,HedgeCo!H4-ASSUMPTIONS!C70)</f>
        <v>634.56013533680004</v>
      </c>
      <c r="I6" s="174">
        <f>ProdServiceCo!I6*0.15+MAX(0,HedgeCo!I4-ASSUMPTIONS!C70)</f>
        <v>870.86860982734413</v>
      </c>
      <c r="J6" s="174">
        <f>ProdServiceCo!J6*0.15+MAX(0,HedgeCo!J4-ASSUMPTIONS!C70)</f>
        <v>968.84709493745572</v>
      </c>
      <c r="K6" s="174">
        <f>ProdServiceCo!K6*0.15+MAX(0,HedgeCo!K4-ASSUMPTIONS!C70)</f>
        <v>1168.9858325216987</v>
      </c>
      <c r="L6" s="174">
        <f>ProdServiceCo!L6*0.15+MAX(0,HedgeCo!L4-ASSUMPTIONS!C70)</f>
        <v>1344.4136818324127</v>
      </c>
      <c r="M6" s="174">
        <f>ProdServiceCo!M6*0.15+MAX(0,HedgeCo!M4-ASSUMPTIONS!C70)</f>
        <v>1239.5823438262253</v>
      </c>
    </row>
    <row r="7" spans="1:13" x14ac:dyDescent="0.3">
      <c r="A7" s="172" t="s">
        <v>557</v>
      </c>
      <c r="B7" s="173" t="s">
        <v>558</v>
      </c>
      <c r="C7" s="174">
        <f>ASSUMPTIONS!C67*ASSUMPTIONS!C43</f>
        <v>3</v>
      </c>
      <c r="D7" s="174">
        <f>ASSUMPTIONS!D67*ASSUMPTIONS!D43</f>
        <v>3</v>
      </c>
      <c r="E7" s="174">
        <f>ASSUMPTIONS!E67*ASSUMPTIONS!E43</f>
        <v>3.2</v>
      </c>
      <c r="F7" s="174">
        <f>ASSUMPTIONS!F67*ASSUMPTIONS!F43</f>
        <v>3.2</v>
      </c>
      <c r="G7" s="174">
        <f>ASSUMPTIONS!G67*ASSUMPTIONS!G43</f>
        <v>3</v>
      </c>
      <c r="H7" s="174">
        <f>ASSUMPTIONS!H67*ASSUMPTIONS!H43</f>
        <v>3.5</v>
      </c>
      <c r="I7" s="174">
        <f>ASSUMPTIONS!I67*ASSUMPTIONS!I43</f>
        <v>3.8</v>
      </c>
      <c r="J7" s="174">
        <f>ASSUMPTIONS!J67*ASSUMPTIONS!J43</f>
        <v>4</v>
      </c>
      <c r="K7" s="174">
        <f>ASSUMPTIONS!K67*ASSUMPTIONS!K43</f>
        <v>4</v>
      </c>
      <c r="L7" s="174">
        <f>ASSUMPTIONS!L67*ASSUMPTIONS!L43</f>
        <v>4</v>
      </c>
      <c r="M7" s="174">
        <f>ASSUMPTIONS!M67*ASSUMPTIONS!M43</f>
        <v>4</v>
      </c>
    </row>
    <row r="8" spans="1:13" x14ac:dyDescent="0.3">
      <c r="A8" s="172" t="s">
        <v>559</v>
      </c>
      <c r="B8" s="173" t="s">
        <v>560</v>
      </c>
      <c r="C8" s="174">
        <f>AmeriBankCo!C5</f>
        <v>50</v>
      </c>
      <c r="D8" s="174">
        <f>AmeriBankCo!D5</f>
        <v>53</v>
      </c>
      <c r="E8" s="174">
        <f>AmeriBankCo!E5</f>
        <v>56.71</v>
      </c>
      <c r="F8" s="174">
        <f>AmeriBankCo!F5</f>
        <v>61.246800000000007</v>
      </c>
      <c r="G8" s="174">
        <f>AmeriBankCo!G5</f>
        <v>76.558500000000009</v>
      </c>
      <c r="H8" s="174">
        <f>AmeriBankCo!H5</f>
        <v>91.870200000000011</v>
      </c>
      <c r="I8" s="174">
        <f>AmeriBankCo!I5</f>
        <v>105.65073000000001</v>
      </c>
      <c r="J8" s="174">
        <f>AmeriBankCo!J5</f>
        <v>116.21580300000002</v>
      </c>
      <c r="K8" s="174">
        <f>AmeriBankCo!K5</f>
        <v>125.51306724000003</v>
      </c>
      <c r="L8" s="174">
        <f>AmeriBankCo!L5</f>
        <v>131.78872060200004</v>
      </c>
      <c r="M8" s="174">
        <f>AmeriBankCo!M5</f>
        <v>151.55702869230004</v>
      </c>
    </row>
    <row r="9" spans="1:13" x14ac:dyDescent="0.3">
      <c r="A9" s="175" t="s">
        <v>561</v>
      </c>
      <c r="B9" s="195" t="s">
        <v>562</v>
      </c>
      <c r="C9" s="217">
        <f>ASSUMPTIONS!C75</f>
        <v>20</v>
      </c>
      <c r="D9" s="217">
        <f>C9*(1+ASSUMPTIONS!D76)</f>
        <v>22</v>
      </c>
      <c r="E9" s="217">
        <f>D9*(1+ASSUMPTIONS!E76)</f>
        <v>25.080000000000002</v>
      </c>
      <c r="F9" s="217">
        <f>E9*(1+ASSUMPTIONS!F76)</f>
        <v>28.089600000000004</v>
      </c>
      <c r="G9" s="217">
        <f>F9*(1+ASSUMPTIONS!G76)</f>
        <v>32.864832</v>
      </c>
      <c r="H9" s="217">
        <f>G9*(1+ASSUMPTIONS!H76)</f>
        <v>37.465908480000003</v>
      </c>
      <c r="I9" s="217">
        <f>H9*(1+ASSUMPTIONS!I76)</f>
        <v>42.711135667200011</v>
      </c>
      <c r="J9" s="217">
        <f>I9*(1+ASSUMPTIONS!J76)</f>
        <v>47.409360590592016</v>
      </c>
      <c r="K9" s="217">
        <f>J9*(1+ASSUMPTIONS!K76)</f>
        <v>52.150296649651224</v>
      </c>
      <c r="L9" s="217">
        <f>K9*(1+ASSUMPTIONS!L76)</f>
        <v>57.365326314616354</v>
      </c>
      <c r="M9" s="217">
        <f>L9*(1+ASSUMPTIONS!M76)</f>
        <v>52.202446946300881</v>
      </c>
    </row>
    <row r="10" spans="1:13" x14ac:dyDescent="0.3">
      <c r="A10" s="222" t="s">
        <v>409</v>
      </c>
      <c r="B10" s="208" t="s">
        <v>563</v>
      </c>
      <c r="C10" s="223">
        <f t="shared" ref="C10:M10" si="0">SUM(C5:C9)</f>
        <v>314.5</v>
      </c>
      <c r="D10" s="223">
        <f t="shared" si="0"/>
        <v>350.4</v>
      </c>
      <c r="E10" s="223">
        <f t="shared" si="0"/>
        <v>400.54029999999995</v>
      </c>
      <c r="F10" s="223">
        <f t="shared" si="0"/>
        <v>503.44387800000004</v>
      </c>
      <c r="G10" s="223">
        <f t="shared" si="0"/>
        <v>508.59332907999999</v>
      </c>
      <c r="H10" s="223">
        <f t="shared" si="0"/>
        <v>767.39624381680005</v>
      </c>
      <c r="I10" s="223">
        <f t="shared" si="0"/>
        <v>1023.030475494544</v>
      </c>
      <c r="J10" s="223">
        <f t="shared" si="0"/>
        <v>1136.4722585280479</v>
      </c>
      <c r="K10" s="223">
        <f t="shared" si="0"/>
        <v>1350.64919641135</v>
      </c>
      <c r="L10" s="223">
        <f t="shared" si="0"/>
        <v>1537.5677287490291</v>
      </c>
      <c r="M10" s="223">
        <f t="shared" si="0"/>
        <v>1447.3418194648261</v>
      </c>
    </row>
    <row r="11" spans="1:13" x14ac:dyDescent="0.3">
      <c r="A11" s="280" t="s">
        <v>410</v>
      </c>
      <c r="B11" s="259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</row>
    <row r="12" spans="1:13" x14ac:dyDescent="0.3">
      <c r="A12" s="179" t="s">
        <v>564</v>
      </c>
      <c r="B12" s="199" t="s">
        <v>565</v>
      </c>
      <c r="C12" s="178">
        <v>55</v>
      </c>
      <c r="D12" s="178">
        <v>58</v>
      </c>
      <c r="E12" s="178">
        <v>62</v>
      </c>
      <c r="F12" s="178">
        <v>67</v>
      </c>
      <c r="G12" s="178">
        <v>72</v>
      </c>
      <c r="H12" s="178">
        <v>78</v>
      </c>
      <c r="I12" s="178">
        <v>85</v>
      </c>
      <c r="J12" s="178">
        <v>90</v>
      </c>
      <c r="K12" s="178">
        <v>96</v>
      </c>
      <c r="L12" s="178">
        <v>100</v>
      </c>
      <c r="M12" s="178">
        <v>100</v>
      </c>
    </row>
    <row r="13" spans="1:13" x14ac:dyDescent="0.3">
      <c r="A13" s="224" t="s">
        <v>566</v>
      </c>
      <c r="B13" s="199" t="s">
        <v>567</v>
      </c>
      <c r="C13" s="225">
        <f>ASSUMPTIONS!C77*C12</f>
        <v>2.75</v>
      </c>
      <c r="D13" s="225">
        <f>ASSUMPTIONS!D77*D12</f>
        <v>2.9000000000000004</v>
      </c>
      <c r="E13" s="225">
        <f>ASSUMPTIONS!E77*E12</f>
        <v>3.7199999999999998</v>
      </c>
      <c r="F13" s="225">
        <f>ASSUMPTIONS!F77*F12</f>
        <v>4.0199999999999996</v>
      </c>
      <c r="G13" s="225">
        <f>ASSUMPTIONS!G77*G12</f>
        <v>7.2</v>
      </c>
      <c r="H13" s="225">
        <f>ASSUMPTIONS!H77*H12</f>
        <v>6.24</v>
      </c>
      <c r="I13" s="225">
        <f>ASSUMPTIONS!I77*I12</f>
        <v>6.8</v>
      </c>
      <c r="J13" s="225">
        <f>ASSUMPTIONS!J77*J12</f>
        <v>9</v>
      </c>
      <c r="K13" s="225">
        <f>ASSUMPTIONS!K77*K12</f>
        <v>11.52</v>
      </c>
      <c r="L13" s="225">
        <f>ASSUMPTIONS!L77*L12</f>
        <v>15</v>
      </c>
      <c r="M13" s="225">
        <f>ASSUMPTIONS!M77*M12</f>
        <v>22</v>
      </c>
    </row>
    <row r="14" spans="1:13" x14ac:dyDescent="0.3">
      <c r="A14" s="226" t="s">
        <v>568</v>
      </c>
      <c r="B14" s="208" t="s">
        <v>569</v>
      </c>
      <c r="C14" s="220">
        <f>AmeriBankCo!C5</f>
        <v>50</v>
      </c>
      <c r="D14" s="220">
        <f>AmeriBankCo!D5</f>
        <v>53</v>
      </c>
      <c r="E14" s="220">
        <f>AmeriBankCo!E5</f>
        <v>56.71</v>
      </c>
      <c r="F14" s="220">
        <f>AmeriBankCo!F5</f>
        <v>61.246800000000007</v>
      </c>
      <c r="G14" s="220">
        <f>AmeriBankCo!G5</f>
        <v>76.558500000000009</v>
      </c>
      <c r="H14" s="220">
        <f>AmeriBankCo!H5</f>
        <v>91.870200000000011</v>
      </c>
      <c r="I14" s="220">
        <f>AmeriBankCo!I5</f>
        <v>105.65073000000001</v>
      </c>
      <c r="J14" s="220">
        <f>AmeriBankCo!J5</f>
        <v>116.21580300000002</v>
      </c>
      <c r="K14" s="220">
        <f>AmeriBankCo!K5</f>
        <v>125.51306724000003</v>
      </c>
      <c r="L14" s="220">
        <f>AmeriBankCo!L5</f>
        <v>131.78872060200004</v>
      </c>
      <c r="M14" s="220">
        <f>AmeriBankCo!M5</f>
        <v>151.55702869230004</v>
      </c>
    </row>
    <row r="15" spans="1:13" x14ac:dyDescent="0.3">
      <c r="A15" s="188" t="s">
        <v>418</v>
      </c>
      <c r="B15" s="193" t="s">
        <v>570</v>
      </c>
      <c r="C15" s="227">
        <f t="shared" ref="C15:M15" si="1">C12+C14</f>
        <v>105</v>
      </c>
      <c r="D15" s="227">
        <f t="shared" si="1"/>
        <v>111</v>
      </c>
      <c r="E15" s="227">
        <f t="shared" si="1"/>
        <v>118.71000000000001</v>
      </c>
      <c r="F15" s="227">
        <f t="shared" si="1"/>
        <v>128.24680000000001</v>
      </c>
      <c r="G15" s="227">
        <f t="shared" si="1"/>
        <v>148.55850000000001</v>
      </c>
      <c r="H15" s="227">
        <f t="shared" si="1"/>
        <v>169.87020000000001</v>
      </c>
      <c r="I15" s="227">
        <f t="shared" si="1"/>
        <v>190.65073000000001</v>
      </c>
      <c r="J15" s="227">
        <f t="shared" si="1"/>
        <v>206.21580300000002</v>
      </c>
      <c r="K15" s="227">
        <f t="shared" si="1"/>
        <v>221.51306724000003</v>
      </c>
      <c r="L15" s="227">
        <f t="shared" si="1"/>
        <v>231.78872060200004</v>
      </c>
      <c r="M15" s="227">
        <f t="shared" si="1"/>
        <v>251.55702869230004</v>
      </c>
    </row>
    <row r="16" spans="1:13" x14ac:dyDescent="0.3">
      <c r="A16" s="188" t="s">
        <v>571</v>
      </c>
      <c r="B16" s="193" t="s">
        <v>572</v>
      </c>
      <c r="C16" s="228">
        <f t="shared" ref="C16:M16" si="2">C5</f>
        <v>60</v>
      </c>
      <c r="D16" s="228">
        <f t="shared" si="2"/>
        <v>35.445000000000007</v>
      </c>
      <c r="E16" s="228">
        <f t="shared" si="2"/>
        <v>0</v>
      </c>
      <c r="F16" s="228">
        <f t="shared" si="2"/>
        <v>0</v>
      </c>
      <c r="G16" s="228">
        <f t="shared" si="2"/>
        <v>0</v>
      </c>
      <c r="H16" s="228">
        <f t="shared" si="2"/>
        <v>0</v>
      </c>
      <c r="I16" s="228">
        <f t="shared" si="2"/>
        <v>0</v>
      </c>
      <c r="J16" s="228">
        <f t="shared" si="2"/>
        <v>0</v>
      </c>
      <c r="K16" s="228">
        <f t="shared" si="2"/>
        <v>0</v>
      </c>
      <c r="L16" s="228">
        <f t="shared" si="2"/>
        <v>0</v>
      </c>
      <c r="M16" s="228">
        <f t="shared" si="2"/>
        <v>0</v>
      </c>
    </row>
    <row r="17" spans="1:13" x14ac:dyDescent="0.3">
      <c r="A17" s="229" t="s">
        <v>573</v>
      </c>
      <c r="B17" s="208" t="s">
        <v>574</v>
      </c>
      <c r="C17" s="187">
        <f t="shared" ref="C17:M17" si="3">C13</f>
        <v>2.75</v>
      </c>
      <c r="D17" s="187">
        <f t="shared" si="3"/>
        <v>2.9000000000000004</v>
      </c>
      <c r="E17" s="187">
        <f t="shared" si="3"/>
        <v>3.7199999999999998</v>
      </c>
      <c r="F17" s="187">
        <f t="shared" si="3"/>
        <v>4.0199999999999996</v>
      </c>
      <c r="G17" s="187">
        <f t="shared" si="3"/>
        <v>7.2</v>
      </c>
      <c r="H17" s="187">
        <f t="shared" si="3"/>
        <v>6.24</v>
      </c>
      <c r="I17" s="187">
        <f t="shared" si="3"/>
        <v>6.8</v>
      </c>
      <c r="J17" s="187">
        <f t="shared" si="3"/>
        <v>9</v>
      </c>
      <c r="K17" s="187">
        <f t="shared" si="3"/>
        <v>11.52</v>
      </c>
      <c r="L17" s="187">
        <f t="shared" si="3"/>
        <v>15</v>
      </c>
      <c r="M17" s="187">
        <f t="shared" si="3"/>
        <v>22</v>
      </c>
    </row>
    <row r="18" spans="1:13" x14ac:dyDescent="0.3">
      <c r="A18" s="230" t="s">
        <v>575</v>
      </c>
      <c r="B18" s="231" t="s">
        <v>576</v>
      </c>
      <c r="C18" s="232">
        <f t="shared" ref="C18:M18" si="4">MIN(C16,C17)</f>
        <v>2.75</v>
      </c>
      <c r="D18" s="232">
        <f t="shared" si="4"/>
        <v>2.9000000000000004</v>
      </c>
      <c r="E18" s="232">
        <f t="shared" si="4"/>
        <v>0</v>
      </c>
      <c r="F18" s="232">
        <f t="shared" si="4"/>
        <v>0</v>
      </c>
      <c r="G18" s="232">
        <f t="shared" si="4"/>
        <v>0</v>
      </c>
      <c r="H18" s="232">
        <f t="shared" si="4"/>
        <v>0</v>
      </c>
      <c r="I18" s="232">
        <f t="shared" si="4"/>
        <v>0</v>
      </c>
      <c r="J18" s="232">
        <f t="shared" si="4"/>
        <v>0</v>
      </c>
      <c r="K18" s="232">
        <f t="shared" si="4"/>
        <v>0</v>
      </c>
      <c r="L18" s="232">
        <f t="shared" si="4"/>
        <v>0</v>
      </c>
      <c r="M18" s="232">
        <f t="shared" si="4"/>
        <v>0</v>
      </c>
    </row>
    <row r="19" spans="1:13" x14ac:dyDescent="0.3">
      <c r="A19" s="230" t="s">
        <v>577</v>
      </c>
      <c r="B19" s="231" t="s">
        <v>578</v>
      </c>
      <c r="C19" s="234" t="str">
        <f t="shared" ref="C19:M19" si="5">IF(C17&gt;C16,IF(C22&gt;5,"GATE FAILED — cascade","GATE ON — brake"),"OK")</f>
        <v>OK</v>
      </c>
      <c r="D19" s="234" t="str">
        <f t="shared" si="5"/>
        <v>OK</v>
      </c>
      <c r="E19" s="234" t="str">
        <f t="shared" si="5"/>
        <v>GATE FAILED — cascade</v>
      </c>
      <c r="F19" s="234" t="str">
        <f t="shared" si="5"/>
        <v>GATE FAILED — cascade</v>
      </c>
      <c r="G19" s="234" t="str">
        <f t="shared" si="5"/>
        <v>GATE FAILED — cascade</v>
      </c>
      <c r="H19" s="234" t="str">
        <f t="shared" si="5"/>
        <v>GATE FAILED — cascade</v>
      </c>
      <c r="I19" s="234" t="str">
        <f t="shared" si="5"/>
        <v>GATE FAILED — cascade</v>
      </c>
      <c r="J19" s="234" t="str">
        <f t="shared" si="5"/>
        <v>GATE FAILED — cascade</v>
      </c>
      <c r="K19" s="234" t="str">
        <f t="shared" si="5"/>
        <v>GATE FAILED — cascade</v>
      </c>
      <c r="L19" s="234" t="str">
        <f t="shared" si="5"/>
        <v>GATE FAILED — cascade</v>
      </c>
      <c r="M19" s="234" t="str">
        <f t="shared" si="5"/>
        <v>GATE FAILED — cascade</v>
      </c>
    </row>
    <row r="20" spans="1:13" x14ac:dyDescent="0.3">
      <c r="A20" s="247" t="s">
        <v>579</v>
      </c>
      <c r="B20" s="208" t="s">
        <v>580</v>
      </c>
      <c r="C20" s="225">
        <f t="shared" ref="C20:M20" si="6">MAX(0,C17-C18)</f>
        <v>0</v>
      </c>
      <c r="D20" s="225">
        <f t="shared" si="6"/>
        <v>0</v>
      </c>
      <c r="E20" s="225">
        <f t="shared" si="6"/>
        <v>3.7199999999999998</v>
      </c>
      <c r="F20" s="225">
        <f t="shared" si="6"/>
        <v>4.0199999999999996</v>
      </c>
      <c r="G20" s="225">
        <f t="shared" si="6"/>
        <v>7.2</v>
      </c>
      <c r="H20" s="225">
        <f t="shared" si="6"/>
        <v>6.24</v>
      </c>
      <c r="I20" s="225">
        <f t="shared" si="6"/>
        <v>6.8</v>
      </c>
      <c r="J20" s="225">
        <f t="shared" si="6"/>
        <v>9</v>
      </c>
      <c r="K20" s="225">
        <f t="shared" si="6"/>
        <v>11.52</v>
      </c>
      <c r="L20" s="225">
        <f t="shared" si="6"/>
        <v>15</v>
      </c>
      <c r="M20" s="225">
        <f t="shared" si="6"/>
        <v>22</v>
      </c>
    </row>
    <row r="21" spans="1:13" x14ac:dyDescent="0.3">
      <c r="A21" s="261" t="s">
        <v>424</v>
      </c>
      <c r="B21" s="259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</row>
    <row r="22" spans="1:13" x14ac:dyDescent="0.3">
      <c r="A22" s="189" t="s">
        <v>581</v>
      </c>
      <c r="B22" s="197" t="s">
        <v>582</v>
      </c>
      <c r="C22" s="185">
        <f t="shared" ref="C22:M22" si="7">IF(C16=0,"-",C9/C16)</f>
        <v>0.33333333333333331</v>
      </c>
      <c r="D22" s="185">
        <f t="shared" si="7"/>
        <v>0.62067992664691762</v>
      </c>
      <c r="E22" s="185" t="str">
        <f t="shared" si="7"/>
        <v>-</v>
      </c>
      <c r="F22" s="185" t="str">
        <f t="shared" si="7"/>
        <v>-</v>
      </c>
      <c r="G22" s="185" t="str">
        <f t="shared" si="7"/>
        <v>-</v>
      </c>
      <c r="H22" s="185" t="str">
        <f t="shared" si="7"/>
        <v>-</v>
      </c>
      <c r="I22" s="185" t="str">
        <f t="shared" si="7"/>
        <v>-</v>
      </c>
      <c r="J22" s="185" t="str">
        <f t="shared" si="7"/>
        <v>-</v>
      </c>
      <c r="K22" s="185" t="str">
        <f t="shared" si="7"/>
        <v>-</v>
      </c>
      <c r="L22" s="185" t="str">
        <f t="shared" si="7"/>
        <v>-</v>
      </c>
      <c r="M22" s="185" t="str">
        <f t="shared" si="7"/>
        <v>-</v>
      </c>
    </row>
    <row r="23" spans="1:13" x14ac:dyDescent="0.3">
      <c r="A23" s="183" t="s">
        <v>583</v>
      </c>
      <c r="B23" s="197" t="s">
        <v>584</v>
      </c>
      <c r="C23" s="185">
        <f>IF(ASSUMPTIONS!C5=0,"-",C25/ASSUMPTIONS!C5)</f>
        <v>1.4285714285714285E-2</v>
      </c>
      <c r="D23" s="185">
        <f>IF(ASSUMPTIONS!D5=0,"-",D25/ASSUMPTIONS!D5)</f>
        <v>1.7421602787456445E-2</v>
      </c>
      <c r="E23" s="185">
        <f>IF(ASSUMPTIONS!E5=0,"-",E25/ASSUMPTIONS!E5)</f>
        <v>2.0408163265306121E-2</v>
      </c>
      <c r="F23" s="185">
        <f>IF(ASSUMPTIONS!F5=0,"-",F25/ASSUMPTIONS!F5)</f>
        <v>2.3178807947019868E-2</v>
      </c>
      <c r="G23" s="185">
        <f>IF(ASSUMPTIONS!G5=0,"-",G25/ASSUMPTIONS!G5)</f>
        <v>2.0833333333333332E-2</v>
      </c>
      <c r="H23" s="185">
        <f>IF(ASSUMPTIONS!H5=0,"-",H25/ASSUMPTIONS!H5)</f>
        <v>0.03</v>
      </c>
      <c r="I23" s="185">
        <f>IF(ASSUMPTIONS!I5=0,"-",I25/ASSUMPTIONS!I5)</f>
        <v>3.5714285714285712E-2</v>
      </c>
      <c r="J23" s="185">
        <f>IF(ASSUMPTIONS!J5=0,"-",J25/ASSUMPTIONS!J5)</f>
        <v>3.8095238095238099E-2</v>
      </c>
      <c r="K23" s="185">
        <f>IF(ASSUMPTIONS!K5=0,"-",K25/ASSUMPTIONS!K5)</f>
        <v>4.0625000000000001E-2</v>
      </c>
      <c r="L23" s="185">
        <f>IF(ASSUMPTIONS!L5=0,"-",L25/ASSUMPTIONS!L5)</f>
        <v>4.40251572327044E-2</v>
      </c>
      <c r="M23" s="185">
        <f>IF(ASSUMPTIONS!M5=0,"-",M25/ASSUMPTIONS!M5)</f>
        <v>2.6666666666666668E-2</v>
      </c>
    </row>
    <row r="24" spans="1:13" x14ac:dyDescent="0.3">
      <c r="A24" s="168" t="s">
        <v>585</v>
      </c>
      <c r="B24" s="208" t="s">
        <v>586</v>
      </c>
      <c r="C24" s="185">
        <f t="shared" ref="C24:M24" si="8">IF(C12=0,"-",C5/C12)</f>
        <v>1.0909090909090908</v>
      </c>
      <c r="D24" s="185">
        <f t="shared" si="8"/>
        <v>0.61112068965517252</v>
      </c>
      <c r="E24" s="185">
        <f t="shared" si="8"/>
        <v>0</v>
      </c>
      <c r="F24" s="185">
        <f t="shared" si="8"/>
        <v>0</v>
      </c>
      <c r="G24" s="185">
        <f t="shared" si="8"/>
        <v>0</v>
      </c>
      <c r="H24" s="185">
        <f t="shared" si="8"/>
        <v>0</v>
      </c>
      <c r="I24" s="185">
        <f t="shared" si="8"/>
        <v>0</v>
      </c>
      <c r="J24" s="185">
        <f t="shared" si="8"/>
        <v>0</v>
      </c>
      <c r="K24" s="185">
        <f t="shared" si="8"/>
        <v>0</v>
      </c>
      <c r="L24" s="185">
        <f t="shared" si="8"/>
        <v>0</v>
      </c>
      <c r="M24" s="185">
        <f t="shared" si="8"/>
        <v>0</v>
      </c>
    </row>
    <row r="25" spans="1:13" x14ac:dyDescent="0.3">
      <c r="A25" s="168" t="s">
        <v>587</v>
      </c>
      <c r="B25" s="208" t="s">
        <v>588</v>
      </c>
      <c r="C25" s="185">
        <v>4</v>
      </c>
      <c r="D25" s="185">
        <v>5</v>
      </c>
      <c r="E25" s="185">
        <v>6</v>
      </c>
      <c r="F25" s="185">
        <v>7</v>
      </c>
      <c r="G25" s="185">
        <v>6</v>
      </c>
      <c r="H25" s="185">
        <v>9</v>
      </c>
      <c r="I25" s="185">
        <v>11</v>
      </c>
      <c r="J25" s="185">
        <v>12</v>
      </c>
      <c r="K25" s="185">
        <v>13</v>
      </c>
      <c r="L25" s="185">
        <v>14</v>
      </c>
      <c r="M25" s="185">
        <v>8</v>
      </c>
    </row>
    <row r="26" spans="1:13" x14ac:dyDescent="0.3">
      <c r="A26" s="168" t="s">
        <v>589</v>
      </c>
      <c r="B26" s="208" t="s">
        <v>590</v>
      </c>
      <c r="C26" s="185">
        <f t="shared" ref="C26:M26" si="9">IF(C10=0,"-",C7/C10)</f>
        <v>9.538950715421303E-3</v>
      </c>
      <c r="D26" s="185">
        <f t="shared" si="9"/>
        <v>8.5616438356164396E-3</v>
      </c>
      <c r="E26" s="185">
        <f t="shared" si="9"/>
        <v>7.9892085765152741E-3</v>
      </c>
      <c r="F26" s="185">
        <f t="shared" si="9"/>
        <v>6.3562199081900446E-3</v>
      </c>
      <c r="G26" s="185">
        <f t="shared" si="9"/>
        <v>5.8986223933112387E-3</v>
      </c>
      <c r="H26" s="185">
        <f t="shared" si="9"/>
        <v>4.5608771585746158E-3</v>
      </c>
      <c r="I26" s="185">
        <f t="shared" si="9"/>
        <v>3.7144543501140947E-3</v>
      </c>
      <c r="J26" s="185">
        <f t="shared" si="9"/>
        <v>3.519663564142583E-3</v>
      </c>
      <c r="K26" s="185">
        <f t="shared" si="9"/>
        <v>2.961538799732696E-3</v>
      </c>
      <c r="L26" s="185">
        <f t="shared" si="9"/>
        <v>2.6015114165113332E-3</v>
      </c>
      <c r="M26" s="185">
        <f t="shared" si="9"/>
        <v>2.7636871582132913E-3</v>
      </c>
    </row>
    <row r="27" spans="1:13" x14ac:dyDescent="0.3">
      <c r="A27" s="280" t="s">
        <v>591</v>
      </c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</row>
    <row r="28" spans="1:13" x14ac:dyDescent="0.3">
      <c r="A28" s="168" t="s">
        <v>592</v>
      </c>
      <c r="B28" s="208" t="s">
        <v>593</v>
      </c>
      <c r="C28" s="187">
        <v>0</v>
      </c>
      <c r="D28" s="187">
        <v>0</v>
      </c>
      <c r="E28" s="187">
        <v>0</v>
      </c>
      <c r="F28" s="187">
        <v>0</v>
      </c>
      <c r="G28" s="187">
        <v>0</v>
      </c>
      <c r="H28" s="187">
        <v>0</v>
      </c>
      <c r="I28" s="187">
        <v>0</v>
      </c>
      <c r="J28" s="187">
        <v>0</v>
      </c>
      <c r="K28" s="187">
        <v>0</v>
      </c>
      <c r="L28" s="187">
        <v>0</v>
      </c>
      <c r="M28" s="187">
        <f>-L5*0.08</f>
        <v>0</v>
      </c>
    </row>
    <row r="29" spans="1:13" x14ac:dyDescent="0.3">
      <c r="A29" s="168" t="s">
        <v>594</v>
      </c>
      <c r="B29" s="208" t="s">
        <v>595</v>
      </c>
      <c r="C29" s="187">
        <v>0</v>
      </c>
      <c r="D29" s="187">
        <v>0</v>
      </c>
      <c r="E29" s="187">
        <v>0</v>
      </c>
      <c r="F29" s="187">
        <v>0</v>
      </c>
      <c r="G29" s="187">
        <v>0</v>
      </c>
      <c r="H29" s="187">
        <v>0</v>
      </c>
      <c r="I29" s="187">
        <v>0</v>
      </c>
      <c r="J29" s="187">
        <v>0</v>
      </c>
      <c r="K29" s="187">
        <v>0</v>
      </c>
      <c r="L29" s="187">
        <v>0</v>
      </c>
      <c r="M29" s="187">
        <f>-ASSUMPTIONS!M77*ASSUMPTIONS!M43*0.5</f>
        <v>-1.1000000000000001</v>
      </c>
    </row>
    <row r="30" spans="1:13" x14ac:dyDescent="0.3">
      <c r="A30" s="168" t="s">
        <v>596</v>
      </c>
      <c r="B30" s="208" t="s">
        <v>597</v>
      </c>
      <c r="C30" s="187">
        <v>0</v>
      </c>
      <c r="D30" s="187">
        <v>0</v>
      </c>
      <c r="E30" s="187">
        <v>0</v>
      </c>
      <c r="F30" s="187">
        <v>0</v>
      </c>
      <c r="G30" s="187">
        <v>0</v>
      </c>
      <c r="H30" s="187">
        <v>0</v>
      </c>
      <c r="I30" s="187">
        <v>0</v>
      </c>
      <c r="J30" s="187">
        <v>0</v>
      </c>
      <c r="K30" s="187">
        <v>0</v>
      </c>
      <c r="L30" s="187">
        <v>0</v>
      </c>
      <c r="M30" s="187">
        <f>-M9*ASSUMPTIONS!M78</f>
        <v>-7.8303670419451317</v>
      </c>
    </row>
    <row r="31" spans="1:13" x14ac:dyDescent="0.3">
      <c r="A31" s="165" t="s">
        <v>598</v>
      </c>
      <c r="B31" s="208" t="s">
        <v>599</v>
      </c>
      <c r="C31" s="187">
        <v>0</v>
      </c>
      <c r="D31" s="187">
        <v>0</v>
      </c>
      <c r="E31" s="187">
        <v>0</v>
      </c>
      <c r="F31" s="187">
        <v>0</v>
      </c>
      <c r="G31" s="187">
        <v>0</v>
      </c>
      <c r="H31" s="187">
        <v>0</v>
      </c>
      <c r="I31" s="187">
        <v>0</v>
      </c>
      <c r="J31" s="187">
        <v>0</v>
      </c>
      <c r="K31" s="187">
        <v>0</v>
      </c>
      <c r="L31" s="187">
        <v>0</v>
      </c>
      <c r="M31" s="187">
        <f>M28+M29+M30</f>
        <v>-8.9303670419451322</v>
      </c>
    </row>
  </sheetData>
  <mergeCells count="6">
    <mergeCell ref="A1:M1"/>
    <mergeCell ref="A27:M27"/>
    <mergeCell ref="A4:M4"/>
    <mergeCell ref="A21:M21"/>
    <mergeCell ref="A2:M2"/>
    <mergeCell ref="A11:M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0"/>
  <sheetViews>
    <sheetView workbookViewId="0"/>
  </sheetViews>
  <sheetFormatPr defaultRowHeight="14.4" x14ac:dyDescent="0.3"/>
  <cols>
    <col min="1" max="1" width="52" customWidth="1"/>
    <col min="2" max="2" width="45" customWidth="1"/>
    <col min="3" max="13" width="10" customWidth="1"/>
  </cols>
  <sheetData>
    <row r="1" spans="1:13" x14ac:dyDescent="0.3">
      <c r="A1" s="268" t="s">
        <v>600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x14ac:dyDescent="0.3">
      <c r="A2" s="272" t="s">
        <v>601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</row>
    <row r="3" spans="1:13" ht="24.6" x14ac:dyDescent="0.3">
      <c r="A3" s="165" t="s">
        <v>106</v>
      </c>
      <c r="B3" s="165" t="s">
        <v>107</v>
      </c>
      <c r="C3" s="171" t="s">
        <v>108</v>
      </c>
      <c r="D3" s="171" t="s">
        <v>109</v>
      </c>
      <c r="E3" s="171" t="s">
        <v>110</v>
      </c>
      <c r="F3" s="171" t="s">
        <v>111</v>
      </c>
      <c r="G3" s="171" t="s">
        <v>112</v>
      </c>
      <c r="H3" s="171" t="s">
        <v>113</v>
      </c>
      <c r="I3" s="171" t="s">
        <v>114</v>
      </c>
      <c r="J3" s="171" t="s">
        <v>115</v>
      </c>
      <c r="K3" s="171" t="s">
        <v>116</v>
      </c>
      <c r="L3" s="171" t="s">
        <v>117</v>
      </c>
      <c r="M3" s="171" t="s">
        <v>118</v>
      </c>
    </row>
    <row r="4" spans="1:13" x14ac:dyDescent="0.3">
      <c r="A4" s="277" t="s">
        <v>404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</row>
    <row r="5" spans="1:13" x14ac:dyDescent="0.3">
      <c r="A5" s="172" t="s">
        <v>602</v>
      </c>
      <c r="B5" s="173" t="s">
        <v>603</v>
      </c>
      <c r="C5" s="174">
        <f>ASSUMPTIONS!C68</f>
        <v>50</v>
      </c>
      <c r="D5" s="174">
        <f>C5*(1+ASSUMPTIONS!D69)</f>
        <v>53</v>
      </c>
      <c r="E5" s="174">
        <f>D5*(1+ASSUMPTIONS!E69)</f>
        <v>56.71</v>
      </c>
      <c r="F5" s="174">
        <f>E5*(1+ASSUMPTIONS!F69)</f>
        <v>61.246800000000007</v>
      </c>
      <c r="G5" s="174">
        <f>F5*(1+ASSUMPTIONS!G69)</f>
        <v>76.558500000000009</v>
      </c>
      <c r="H5" s="174">
        <f>G5*(1+ASSUMPTIONS!H69)</f>
        <v>91.870200000000011</v>
      </c>
      <c r="I5" s="174">
        <f>H5*(1+ASSUMPTIONS!I69)</f>
        <v>105.65073000000001</v>
      </c>
      <c r="J5" s="174">
        <f>I5*(1+ASSUMPTIONS!J69)</f>
        <v>116.21580300000002</v>
      </c>
      <c r="K5" s="174">
        <f>J5*(1+ASSUMPTIONS!K69)</f>
        <v>125.51306724000003</v>
      </c>
      <c r="L5" s="174">
        <f>K5*(1+ASSUMPTIONS!L69)</f>
        <v>131.78872060200004</v>
      </c>
      <c r="M5" s="174">
        <f>L5*(1+ASSUMPTIONS!M69)</f>
        <v>151.55702869230004</v>
      </c>
    </row>
    <row r="6" spans="1:13" x14ac:dyDescent="0.3">
      <c r="A6" s="172" t="s">
        <v>604</v>
      </c>
      <c r="B6" s="173" t="s">
        <v>605</v>
      </c>
      <c r="C6" s="217">
        <f>MAX(0,30-MIN(30,MAX(0,(HedgeCo!C4-ASSUMPTIONS!C70)*ASSUMPTIONS!C85*4)))</f>
        <v>30</v>
      </c>
      <c r="D6" s="217">
        <f>MAX(0,30-MIN(30,MAX(0,(HedgeCo!D4-ASSUMPTIONS!C70)*ASSUMPTIONS!C85*4)))</f>
        <v>5.4450000000000074</v>
      </c>
      <c r="E6" s="217">
        <f>MAX(0,30-MIN(30,MAX(0,(HedgeCo!E4-ASSUMPTIONS!C70)*ASSUMPTIONS!C85*4)))</f>
        <v>0</v>
      </c>
      <c r="F6" s="217">
        <f>MAX(0,30-MIN(30,MAX(0,(HedgeCo!F4-ASSUMPTIONS!C70)*ASSUMPTIONS!C85*4)))</f>
        <v>0</v>
      </c>
      <c r="G6" s="217">
        <f>MAX(0,30-MIN(30,MAX(0,(HedgeCo!G4-ASSUMPTIONS!C70)*ASSUMPTIONS!C85*4)))</f>
        <v>0</v>
      </c>
      <c r="H6" s="217">
        <f>MAX(0,30-MIN(30,MAX(0,(HedgeCo!H4-ASSUMPTIONS!C70)*ASSUMPTIONS!C85*4)))</f>
        <v>0</v>
      </c>
      <c r="I6" s="217">
        <f>MAX(0,30-MIN(30,MAX(0,(HedgeCo!I4-ASSUMPTIONS!C70)*ASSUMPTIONS!C85*4)))</f>
        <v>0</v>
      </c>
      <c r="J6" s="217">
        <f>MAX(0,30-MIN(30,MAX(0,(HedgeCo!J4-ASSUMPTIONS!C70)*ASSUMPTIONS!C85*4)))</f>
        <v>0</v>
      </c>
      <c r="K6" s="217">
        <f>MAX(0,30-MIN(30,MAX(0,(HedgeCo!K4-ASSUMPTIONS!C70)*ASSUMPTIONS!C85*4)))</f>
        <v>0</v>
      </c>
      <c r="L6" s="217">
        <f>MAX(0,30-MIN(30,MAX(0,(HedgeCo!L4-ASSUMPTIONS!C70)*ASSUMPTIONS!C85*4)))</f>
        <v>0</v>
      </c>
      <c r="M6" s="217">
        <f>MAX(0,30-MIN(30,MAX(0,(HedgeCo!M4-ASSUMPTIONS!C70)*ASSUMPTIONS!C85*4)))</f>
        <v>0</v>
      </c>
    </row>
    <row r="7" spans="1:13" x14ac:dyDescent="0.3">
      <c r="A7" s="172" t="s">
        <v>606</v>
      </c>
      <c r="B7" s="173" t="s">
        <v>607</v>
      </c>
      <c r="C7" s="217">
        <f>FedCo!C9</f>
        <v>200</v>
      </c>
      <c r="D7" s="217">
        <f>FedCo!D9</f>
        <v>200</v>
      </c>
      <c r="E7" s="217">
        <f>FedCo!E9</f>
        <v>200</v>
      </c>
      <c r="F7" s="217">
        <f>FedCo!F9</f>
        <v>200</v>
      </c>
      <c r="G7" s="217">
        <f>FedCo!G9</f>
        <v>200</v>
      </c>
      <c r="H7" s="217">
        <f>FedCo!H9</f>
        <v>200</v>
      </c>
      <c r="I7" s="217">
        <f>FedCo!I9</f>
        <v>200</v>
      </c>
      <c r="J7" s="217">
        <f>FedCo!J9</f>
        <v>200</v>
      </c>
      <c r="K7" s="217">
        <f>FedCo!K9</f>
        <v>200</v>
      </c>
      <c r="L7" s="217">
        <f>FedCo!L9</f>
        <v>200</v>
      </c>
      <c r="M7" s="217">
        <f>FedCo!M9</f>
        <v>200</v>
      </c>
    </row>
    <row r="8" spans="1:13" x14ac:dyDescent="0.3">
      <c r="A8" s="172" t="s">
        <v>608</v>
      </c>
      <c r="B8" s="173" t="s">
        <v>609</v>
      </c>
      <c r="C8" s="217">
        <f>HouseholdCo!C11+HouseholdCo!C12+ManuCo!C9</f>
        <v>125</v>
      </c>
      <c r="D8" s="217">
        <f>HouseholdCo!D11+HouseholdCo!D12+ManuCo!D9</f>
        <v>130</v>
      </c>
      <c r="E8" s="217">
        <f>HouseholdCo!E11+HouseholdCo!E12+ManuCo!E9</f>
        <v>135</v>
      </c>
      <c r="F8" s="217">
        <f>HouseholdCo!F11+HouseholdCo!F12+ManuCo!F9</f>
        <v>141</v>
      </c>
      <c r="G8" s="217">
        <f>HouseholdCo!G11+HouseholdCo!G12+ManuCo!G9</f>
        <v>137</v>
      </c>
      <c r="H8" s="217">
        <f>HouseholdCo!H11+HouseholdCo!H12+ManuCo!H9</f>
        <v>143</v>
      </c>
      <c r="I8" s="217">
        <f>HouseholdCo!I11+HouseholdCo!I12+ManuCo!I9</f>
        <v>150</v>
      </c>
      <c r="J8" s="217">
        <f>HouseholdCo!J11+HouseholdCo!J12+ManuCo!J9</f>
        <v>154</v>
      </c>
      <c r="K8" s="217">
        <f>HouseholdCo!K11+HouseholdCo!K12+ManuCo!K9</f>
        <v>158</v>
      </c>
      <c r="L8" s="217">
        <f>HouseholdCo!L11+HouseholdCo!L12+ManuCo!L9</f>
        <v>162</v>
      </c>
      <c r="M8" s="217">
        <f>HouseholdCo!M11+HouseholdCo!M12+ManuCo!M9</f>
        <v>166</v>
      </c>
    </row>
    <row r="9" spans="1:13" x14ac:dyDescent="0.3">
      <c r="A9" s="175" t="s">
        <v>409</v>
      </c>
      <c r="B9" s="173"/>
      <c r="C9" s="174">
        <f t="shared" ref="C9:M9" si="0">SUM(C5:C8)</f>
        <v>405</v>
      </c>
      <c r="D9" s="174">
        <f t="shared" si="0"/>
        <v>388.44499999999999</v>
      </c>
      <c r="E9" s="174">
        <f t="shared" si="0"/>
        <v>391.71</v>
      </c>
      <c r="F9" s="174">
        <f t="shared" si="0"/>
        <v>402.24680000000001</v>
      </c>
      <c r="G9" s="174">
        <f t="shared" si="0"/>
        <v>413.55849999999998</v>
      </c>
      <c r="H9" s="174">
        <f t="shared" si="0"/>
        <v>434.87020000000001</v>
      </c>
      <c r="I9" s="174">
        <f t="shared" si="0"/>
        <v>455.65073000000001</v>
      </c>
      <c r="J9" s="174">
        <f t="shared" si="0"/>
        <v>470.21580300000005</v>
      </c>
      <c r="K9" s="174">
        <f t="shared" si="0"/>
        <v>483.51306724000005</v>
      </c>
      <c r="L9" s="174">
        <f t="shared" si="0"/>
        <v>493.78872060200001</v>
      </c>
      <c r="M9" s="174">
        <f t="shared" si="0"/>
        <v>517.55702869230004</v>
      </c>
    </row>
    <row r="10" spans="1:13" x14ac:dyDescent="0.3">
      <c r="A10" s="278" t="s">
        <v>410</v>
      </c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59"/>
    </row>
    <row r="11" spans="1:13" x14ac:dyDescent="0.3">
      <c r="A11" s="176" t="s">
        <v>610</v>
      </c>
      <c r="B11" s="177" t="s">
        <v>611</v>
      </c>
      <c r="C11" s="178">
        <f>HouseholdCo!C7</f>
        <v>70</v>
      </c>
      <c r="D11" s="178">
        <f>HouseholdCo!D7</f>
        <v>71.75</v>
      </c>
      <c r="E11" s="178">
        <f>HouseholdCo!E7</f>
        <v>73.5</v>
      </c>
      <c r="F11" s="178">
        <f>HouseholdCo!F7</f>
        <v>75.5</v>
      </c>
      <c r="G11" s="178">
        <f>HouseholdCo!G7</f>
        <v>72</v>
      </c>
      <c r="H11" s="178">
        <f>HouseholdCo!H7</f>
        <v>75</v>
      </c>
      <c r="I11" s="178">
        <f>HouseholdCo!I7</f>
        <v>77</v>
      </c>
      <c r="J11" s="178">
        <f>HouseholdCo!J7</f>
        <v>78.75</v>
      </c>
      <c r="K11" s="178">
        <f>HouseholdCo!K7</f>
        <v>80</v>
      </c>
      <c r="L11" s="178">
        <f>HouseholdCo!L7</f>
        <v>79.5</v>
      </c>
      <c r="M11" s="178">
        <f>HouseholdCo!M7</f>
        <v>75</v>
      </c>
    </row>
    <row r="12" spans="1:13" x14ac:dyDescent="0.3">
      <c r="A12" s="176" t="s">
        <v>612</v>
      </c>
      <c r="B12" s="177" t="s">
        <v>613</v>
      </c>
      <c r="C12" s="178">
        <f>ManuCo!C14*0.08+ProdServiceCo!C14*0.06</f>
        <v>12.100000000000001</v>
      </c>
      <c r="D12" s="178">
        <f>ManuCo!D14*0.08+ProdServiceCo!D14*0.06</f>
        <v>12.580000000000002</v>
      </c>
      <c r="E12" s="178">
        <f>ManuCo!E14*0.08+ProdServiceCo!E14*0.06</f>
        <v>13.12</v>
      </c>
      <c r="F12" s="178">
        <f>ManuCo!F14*0.08+ProdServiceCo!F14*0.06</f>
        <v>13.8</v>
      </c>
      <c r="G12" s="178">
        <f>ManuCo!G14*0.08+ProdServiceCo!G14*0.06</f>
        <v>12.06</v>
      </c>
      <c r="H12" s="178">
        <f>ManuCo!H14*0.08+ProdServiceCo!H14*0.06</f>
        <v>13.64</v>
      </c>
      <c r="I12" s="178">
        <f>ManuCo!I14*0.08+ProdServiceCo!I14*0.06</f>
        <v>14.84</v>
      </c>
      <c r="J12" s="178">
        <f>ManuCo!J14*0.08+ProdServiceCo!J14*0.06</f>
        <v>15.7</v>
      </c>
      <c r="K12" s="178">
        <f>ManuCo!K14*0.08+ProdServiceCo!K14*0.06</f>
        <v>16.68</v>
      </c>
      <c r="L12" s="178">
        <f>ManuCo!L14*0.08+ProdServiceCo!L14*0.06</f>
        <v>17.32</v>
      </c>
      <c r="M12" s="178">
        <f>ManuCo!M14*0.08+ProdServiceCo!M14*0.06</f>
        <v>16.04</v>
      </c>
    </row>
    <row r="13" spans="1:13" x14ac:dyDescent="0.3">
      <c r="A13" s="176" t="s">
        <v>614</v>
      </c>
      <c r="B13" s="177" t="s">
        <v>615</v>
      </c>
      <c r="C13" s="178">
        <v>20</v>
      </c>
      <c r="D13" s="178">
        <v>21</v>
      </c>
      <c r="E13" s="178">
        <v>21</v>
      </c>
      <c r="F13" s="178">
        <v>22</v>
      </c>
      <c r="G13" s="178">
        <v>22</v>
      </c>
      <c r="H13" s="178">
        <v>23</v>
      </c>
      <c r="I13" s="178">
        <v>23</v>
      </c>
      <c r="J13" s="178">
        <v>24</v>
      </c>
      <c r="K13" s="178">
        <v>24</v>
      </c>
      <c r="L13" s="178">
        <v>25</v>
      </c>
      <c r="M13" s="178">
        <v>24</v>
      </c>
    </row>
    <row r="14" spans="1:13" x14ac:dyDescent="0.3">
      <c r="A14" s="179" t="s">
        <v>418</v>
      </c>
      <c r="B14" s="177"/>
      <c r="C14" s="178">
        <f t="shared" ref="C14:M14" si="1">SUM(C11:C13)</f>
        <v>102.1</v>
      </c>
      <c r="D14" s="178">
        <f t="shared" si="1"/>
        <v>105.33</v>
      </c>
      <c r="E14" s="178">
        <f t="shared" si="1"/>
        <v>107.62</v>
      </c>
      <c r="F14" s="178">
        <f t="shared" si="1"/>
        <v>111.3</v>
      </c>
      <c r="G14" s="178">
        <f t="shared" si="1"/>
        <v>106.06</v>
      </c>
      <c r="H14" s="178">
        <f t="shared" si="1"/>
        <v>111.64</v>
      </c>
      <c r="I14" s="178">
        <f t="shared" si="1"/>
        <v>114.84</v>
      </c>
      <c r="J14" s="178">
        <f t="shared" si="1"/>
        <v>118.45</v>
      </c>
      <c r="K14" s="178">
        <f t="shared" si="1"/>
        <v>120.68</v>
      </c>
      <c r="L14" s="178">
        <f t="shared" si="1"/>
        <v>121.82</v>
      </c>
      <c r="M14" s="178">
        <f t="shared" si="1"/>
        <v>115.03999999999999</v>
      </c>
    </row>
    <row r="15" spans="1:13" x14ac:dyDescent="0.3">
      <c r="A15" s="221" t="s">
        <v>616</v>
      </c>
      <c r="B15" s="208" t="s">
        <v>617</v>
      </c>
      <c r="C15" s="216">
        <f t="shared" ref="C15:M15" si="2">C9-C14</f>
        <v>302.89999999999998</v>
      </c>
      <c r="D15" s="216">
        <f t="shared" si="2"/>
        <v>283.11500000000001</v>
      </c>
      <c r="E15" s="216">
        <f t="shared" si="2"/>
        <v>284.08999999999997</v>
      </c>
      <c r="F15" s="216">
        <f t="shared" si="2"/>
        <v>290.9468</v>
      </c>
      <c r="G15" s="216">
        <f t="shared" si="2"/>
        <v>307.49849999999998</v>
      </c>
      <c r="H15" s="216">
        <f t="shared" si="2"/>
        <v>323.23020000000002</v>
      </c>
      <c r="I15" s="216">
        <f t="shared" si="2"/>
        <v>340.81073000000004</v>
      </c>
      <c r="J15" s="216">
        <f t="shared" si="2"/>
        <v>351.76580300000006</v>
      </c>
      <c r="K15" s="216">
        <f t="shared" si="2"/>
        <v>362.83306724000005</v>
      </c>
      <c r="L15" s="216">
        <f t="shared" si="2"/>
        <v>371.96872060200002</v>
      </c>
      <c r="M15" s="216">
        <f t="shared" si="2"/>
        <v>402.51702869230007</v>
      </c>
    </row>
    <row r="16" spans="1:13" x14ac:dyDescent="0.3">
      <c r="A16" s="183" t="s">
        <v>618</v>
      </c>
      <c r="B16" s="184" t="s">
        <v>619</v>
      </c>
      <c r="C16" s="185">
        <f t="shared" ref="C16:M16" si="3">C9*0.08/(C9*1.05)</f>
        <v>7.6190476190476183E-2</v>
      </c>
      <c r="D16" s="185">
        <f t="shared" si="3"/>
        <v>7.6190476190476197E-2</v>
      </c>
      <c r="E16" s="185">
        <f t="shared" si="3"/>
        <v>7.6190476190476183E-2</v>
      </c>
      <c r="F16" s="185">
        <f t="shared" si="3"/>
        <v>7.6190476190476183E-2</v>
      </c>
      <c r="G16" s="185">
        <f t="shared" si="3"/>
        <v>7.6190476190476183E-2</v>
      </c>
      <c r="H16" s="185">
        <f t="shared" si="3"/>
        <v>7.6190476190476197E-2</v>
      </c>
      <c r="I16" s="185">
        <f t="shared" si="3"/>
        <v>7.6190476190476183E-2</v>
      </c>
      <c r="J16" s="185">
        <f t="shared" si="3"/>
        <v>7.6190476190476183E-2</v>
      </c>
      <c r="K16" s="185">
        <f t="shared" si="3"/>
        <v>7.6190476190476183E-2</v>
      </c>
      <c r="L16" s="185">
        <f t="shared" si="3"/>
        <v>7.6190476190476183E-2</v>
      </c>
      <c r="M16" s="185">
        <f t="shared" si="3"/>
        <v>7.6190476190476183E-2</v>
      </c>
    </row>
    <row r="17" spans="1:13" x14ac:dyDescent="0.3">
      <c r="A17" s="183" t="s">
        <v>620</v>
      </c>
      <c r="B17" s="184" t="s">
        <v>621</v>
      </c>
      <c r="C17" s="185">
        <f t="shared" ref="C17:M17" si="4">IF(C9=0,"-",C5/C9)</f>
        <v>0.12345679012345678</v>
      </c>
      <c r="D17" s="185">
        <f t="shared" si="4"/>
        <v>0.13644145245787692</v>
      </c>
      <c r="E17" s="185">
        <f t="shared" si="4"/>
        <v>0.14477547164994511</v>
      </c>
      <c r="F17" s="185">
        <f t="shared" si="4"/>
        <v>0.15226174577398752</v>
      </c>
      <c r="G17" s="185">
        <f t="shared" si="4"/>
        <v>0.18512133108133436</v>
      </c>
      <c r="H17" s="185">
        <f t="shared" si="4"/>
        <v>0.21125889978204992</v>
      </c>
      <c r="I17" s="185">
        <f t="shared" si="4"/>
        <v>0.23186779487876605</v>
      </c>
      <c r="J17" s="185">
        <f t="shared" si="4"/>
        <v>0.24715418379930545</v>
      </c>
      <c r="K17" s="185">
        <f t="shared" si="4"/>
        <v>0.25958567770765012</v>
      </c>
      <c r="L17" s="185">
        <f t="shared" si="4"/>
        <v>0.26689293437349176</v>
      </c>
      <c r="M17" s="185">
        <f t="shared" si="4"/>
        <v>0.2928315534139993</v>
      </c>
    </row>
    <row r="18" spans="1:13" x14ac:dyDescent="0.3">
      <c r="A18" s="183" t="s">
        <v>622</v>
      </c>
      <c r="B18" s="184" t="s">
        <v>623</v>
      </c>
      <c r="C18" s="185">
        <f t="shared" ref="C18:M18" si="5">IF(C9=0,"-",C8/C9)</f>
        <v>0.30864197530864196</v>
      </c>
      <c r="D18" s="185">
        <f t="shared" si="5"/>
        <v>0.33466771357592451</v>
      </c>
      <c r="E18" s="185">
        <f t="shared" si="5"/>
        <v>0.34464272037987287</v>
      </c>
      <c r="F18" s="185">
        <f t="shared" si="5"/>
        <v>0.35053106699667963</v>
      </c>
      <c r="G18" s="185">
        <f t="shared" si="5"/>
        <v>0.33127115027257331</v>
      </c>
      <c r="H18" s="185">
        <f t="shared" si="5"/>
        <v>0.32883375315208996</v>
      </c>
      <c r="I18" s="185">
        <f t="shared" si="5"/>
        <v>0.32919951648052886</v>
      </c>
      <c r="J18" s="185">
        <f t="shared" si="5"/>
        <v>0.32750919687826824</v>
      </c>
      <c r="K18" s="185">
        <f t="shared" si="5"/>
        <v>0.32677503609550634</v>
      </c>
      <c r="L18" s="185">
        <f t="shared" si="5"/>
        <v>0.32807553765606173</v>
      </c>
      <c r="M18" s="185">
        <f t="shared" si="5"/>
        <v>0.32073760145703856</v>
      </c>
    </row>
    <row r="20" spans="1:13" x14ac:dyDescent="0.3">
      <c r="A20" s="168" t="s">
        <v>624</v>
      </c>
      <c r="B20" s="208" t="s">
        <v>625</v>
      </c>
      <c r="C20" s="220">
        <f>FedCo!C20</f>
        <v>3.2000000000000032E-3</v>
      </c>
      <c r="D20" s="220">
        <f>FedCo!D20</f>
        <v>4.4845280000000001E-2</v>
      </c>
      <c r="E20" s="220">
        <f>FedCo!E20</f>
        <v>9.1363902933333352E-2</v>
      </c>
      <c r="F20" s="220">
        <f>FedCo!F20</f>
        <v>0.11061333333333333</v>
      </c>
      <c r="G20" s="220">
        <f>FedCo!G20</f>
        <v>0.11061333333333333</v>
      </c>
      <c r="H20" s="220">
        <f>FedCo!H20</f>
        <v>0.11061333333333333</v>
      </c>
      <c r="I20" s="220">
        <f>FedCo!I20</f>
        <v>0.11061333333333333</v>
      </c>
      <c r="J20" s="220">
        <f>FedCo!J20</f>
        <v>0.11061333333333333</v>
      </c>
      <c r="K20" s="220">
        <f>FedCo!K20</f>
        <v>0.11061333333333333</v>
      </c>
      <c r="L20" s="220">
        <f>FedCo!L20</f>
        <v>0.1314133333333333</v>
      </c>
      <c r="M20" s="220">
        <f>FedCo!M20</f>
        <v>0.16341333333333333</v>
      </c>
    </row>
  </sheetData>
  <mergeCells count="4">
    <mergeCell ref="A4:M4"/>
    <mergeCell ref="A2:M2"/>
    <mergeCell ref="A1:M1"/>
    <mergeCell ref="A10:M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7"/>
  <sheetViews>
    <sheetView workbookViewId="0"/>
  </sheetViews>
  <sheetFormatPr defaultRowHeight="14.4" x14ac:dyDescent="0.3"/>
  <cols>
    <col min="1" max="1" width="52" customWidth="1"/>
    <col min="2" max="2" width="42" customWidth="1"/>
    <col min="3" max="13" width="10" customWidth="1"/>
  </cols>
  <sheetData>
    <row r="1" spans="1:13" x14ac:dyDescent="0.3">
      <c r="A1" s="268" t="s">
        <v>626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x14ac:dyDescent="0.3">
      <c r="A2" s="272" t="s">
        <v>627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</row>
    <row r="3" spans="1:13" ht="24.6" x14ac:dyDescent="0.3">
      <c r="A3" s="165" t="s">
        <v>106</v>
      </c>
      <c r="B3" s="165" t="s">
        <v>107</v>
      </c>
      <c r="C3" s="171" t="s">
        <v>108</v>
      </c>
      <c r="D3" s="171" t="s">
        <v>109</v>
      </c>
      <c r="E3" s="171" t="s">
        <v>110</v>
      </c>
      <c r="F3" s="171" t="s">
        <v>111</v>
      </c>
      <c r="G3" s="171" t="s">
        <v>112</v>
      </c>
      <c r="H3" s="171" t="s">
        <v>113</v>
      </c>
      <c r="I3" s="171" t="s">
        <v>114</v>
      </c>
      <c r="J3" s="171" t="s">
        <v>115</v>
      </c>
      <c r="K3" s="171" t="s">
        <v>116</v>
      </c>
      <c r="L3" s="171" t="s">
        <v>117</v>
      </c>
      <c r="M3" s="171" t="s">
        <v>118</v>
      </c>
    </row>
    <row r="4" spans="1:13" x14ac:dyDescent="0.3">
      <c r="A4" s="277" t="s">
        <v>404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</row>
    <row r="5" spans="1:13" x14ac:dyDescent="0.3">
      <c r="A5" s="172" t="s">
        <v>628</v>
      </c>
      <c r="B5" s="195" t="s">
        <v>629</v>
      </c>
      <c r="C5" s="217" t="e">
        <f ca="1">18*(GovCo!C16/ASSUMPTIONS!C52)</f>
        <v>#VALUE!</v>
      </c>
      <c r="D5" s="217" t="e">
        <f ca="1">18*(GovCo!D16/ASSUMPTIONS!C52)</f>
        <v>#VALUE!</v>
      </c>
      <c r="E5" s="217" t="e">
        <f ca="1">18*(GovCo!E16/ASSUMPTIONS!C52)</f>
        <v>#VALUE!</v>
      </c>
      <c r="F5" s="217" t="e">
        <f ca="1">18*(GovCo!F16/ASSUMPTIONS!C52)</f>
        <v>#VALUE!</v>
      </c>
      <c r="G5" s="217" t="e">
        <f ca="1">18*(GovCo!G16/ASSUMPTIONS!C52)</f>
        <v>#VALUE!</v>
      </c>
      <c r="H5" s="217" t="e">
        <f ca="1">18*(GovCo!H16/ASSUMPTIONS!C52)</f>
        <v>#VALUE!</v>
      </c>
      <c r="I5" s="217" t="e">
        <f ca="1">18*(GovCo!I16/ASSUMPTIONS!C52)</f>
        <v>#VALUE!</v>
      </c>
      <c r="J5" s="217" t="e">
        <f ca="1">18*(GovCo!J16/ASSUMPTIONS!C52)</f>
        <v>#VALUE!</v>
      </c>
      <c r="K5" s="217" t="e">
        <f ca="1">18*(GovCo!K16/ASSUMPTIONS!C52)</f>
        <v>#VALUE!</v>
      </c>
      <c r="L5" s="217" t="e">
        <f ca="1">18*(GovCo!L16/ASSUMPTIONS!C52)</f>
        <v>#VALUE!</v>
      </c>
      <c r="M5" s="217" t="e">
        <f ca="1">18*(GovCo!M16/ASSUMPTIONS!C52)</f>
        <v>#VALUE!</v>
      </c>
    </row>
    <row r="6" spans="1:13" x14ac:dyDescent="0.3">
      <c r="A6" s="172" t="s">
        <v>630</v>
      </c>
      <c r="B6" s="195" t="s">
        <v>631</v>
      </c>
      <c r="C6" s="217" t="e">
        <f ca="1">GovCo!C13*0.06</f>
        <v>#VALUE!</v>
      </c>
      <c r="D6" s="217" t="e">
        <f ca="1">GovCo!D13*0.06</f>
        <v>#VALUE!</v>
      </c>
      <c r="E6" s="217" t="e">
        <f ca="1">GovCo!E13*0.06</f>
        <v>#VALUE!</v>
      </c>
      <c r="F6" s="217" t="e">
        <f ca="1">GovCo!F13*0.06</f>
        <v>#VALUE!</v>
      </c>
      <c r="G6" s="217" t="e">
        <f ca="1">GovCo!G13*0.06</f>
        <v>#VALUE!</v>
      </c>
      <c r="H6" s="217" t="e">
        <f ca="1">GovCo!H13*0.06</f>
        <v>#VALUE!</v>
      </c>
      <c r="I6" s="217" t="e">
        <f ca="1">GovCo!I13*0.06</f>
        <v>#VALUE!</v>
      </c>
      <c r="J6" s="217" t="e">
        <f ca="1">GovCo!J13*0.06</f>
        <v>#VALUE!</v>
      </c>
      <c r="K6" s="217" t="e">
        <f ca="1">GovCo!K13*0.06</f>
        <v>#VALUE!</v>
      </c>
      <c r="L6" s="217" t="e">
        <f ca="1">GovCo!L13*0.06</f>
        <v>#VALUE!</v>
      </c>
      <c r="M6" s="217" t="e">
        <f ca="1">GovCo!M13*0.06</f>
        <v>#VALUE!</v>
      </c>
    </row>
    <row r="7" spans="1:13" x14ac:dyDescent="0.3">
      <c r="A7" s="172" t="s">
        <v>632</v>
      </c>
      <c r="B7" s="195" t="s">
        <v>633</v>
      </c>
      <c r="C7" s="217">
        <f>ProdServiceCo!C6*0.05</f>
        <v>60.5</v>
      </c>
      <c r="D7" s="217">
        <f>ProdServiceCo!D6*0.05</f>
        <v>70.8</v>
      </c>
      <c r="E7" s="217">
        <f>ProdServiceCo!E6*0.05</f>
        <v>83.2</v>
      </c>
      <c r="F7" s="217">
        <f>ProdServiceCo!F6*0.05</f>
        <v>98</v>
      </c>
      <c r="G7" s="217">
        <f>ProdServiceCo!G6*0.05</f>
        <v>78</v>
      </c>
      <c r="H7" s="217">
        <f>ProdServiceCo!H6*0.05</f>
        <v>136.5</v>
      </c>
      <c r="I7" s="217">
        <f>ProdServiceCo!I6*0.05</f>
        <v>171</v>
      </c>
      <c r="J7" s="217">
        <f>ProdServiceCo!J6*0.05</f>
        <v>158.4</v>
      </c>
      <c r="K7" s="217">
        <f>ProdServiceCo!K6*0.05</f>
        <v>165</v>
      </c>
      <c r="L7" s="217">
        <f>ProdServiceCo!L6*0.05</f>
        <v>165.20000000000002</v>
      </c>
      <c r="M7" s="217">
        <f>ProdServiceCo!M6*0.05</f>
        <v>99</v>
      </c>
    </row>
    <row r="8" spans="1:13" x14ac:dyDescent="0.3">
      <c r="A8" s="175" t="s">
        <v>409</v>
      </c>
      <c r="B8" s="195"/>
      <c r="C8" s="174" t="e">
        <f t="shared" ref="C8:M8" ca="1" si="0">SUM(C5:C7)</f>
        <v>#VALUE!</v>
      </c>
      <c r="D8" s="174" t="e">
        <f t="shared" ca="1" si="0"/>
        <v>#VALUE!</v>
      </c>
      <c r="E8" s="174" t="e">
        <f t="shared" ca="1" si="0"/>
        <v>#VALUE!</v>
      </c>
      <c r="F8" s="174" t="e">
        <f t="shared" ca="1" si="0"/>
        <v>#VALUE!</v>
      </c>
      <c r="G8" s="174" t="e">
        <f t="shared" ca="1" si="0"/>
        <v>#VALUE!</v>
      </c>
      <c r="H8" s="174" t="e">
        <f t="shared" ca="1" si="0"/>
        <v>#VALUE!</v>
      </c>
      <c r="I8" s="174" t="e">
        <f t="shared" ca="1" si="0"/>
        <v>#VALUE!</v>
      </c>
      <c r="J8" s="174" t="e">
        <f t="shared" ca="1" si="0"/>
        <v>#VALUE!</v>
      </c>
      <c r="K8" s="174" t="e">
        <f t="shared" ca="1" si="0"/>
        <v>#VALUE!</v>
      </c>
      <c r="L8" s="174" t="e">
        <f t="shared" ca="1" si="0"/>
        <v>#VALUE!</v>
      </c>
      <c r="M8" s="174" t="e">
        <f t="shared" ca="1" si="0"/>
        <v>#VALUE!</v>
      </c>
    </row>
    <row r="9" spans="1:13" x14ac:dyDescent="0.3">
      <c r="A9" s="278" t="s">
        <v>410</v>
      </c>
      <c r="B9" s="259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</row>
    <row r="10" spans="1:13" x14ac:dyDescent="0.3">
      <c r="A10" s="176" t="s">
        <v>634</v>
      </c>
      <c r="B10" s="199" t="s">
        <v>635</v>
      </c>
      <c r="C10" s="220" t="e">
        <f ca="1">GovCo!C13*0.1</f>
        <v>#VALUE!</v>
      </c>
      <c r="D10" s="220" t="e">
        <f ca="1">GovCo!D13*0.1</f>
        <v>#VALUE!</v>
      </c>
      <c r="E10" s="220" t="e">
        <f ca="1">GovCo!E13*0.1</f>
        <v>#VALUE!</v>
      </c>
      <c r="F10" s="220" t="e">
        <f ca="1">GovCo!F13*0.1</f>
        <v>#VALUE!</v>
      </c>
      <c r="G10" s="220" t="e">
        <f ca="1">GovCo!G13*0.1</f>
        <v>#VALUE!</v>
      </c>
      <c r="H10" s="220" t="e">
        <f ca="1">GovCo!H13*0.1</f>
        <v>#VALUE!</v>
      </c>
      <c r="I10" s="220" t="e">
        <f ca="1">GovCo!I13*0.1</f>
        <v>#VALUE!</v>
      </c>
      <c r="J10" s="220" t="e">
        <f ca="1">GovCo!J13*0.1</f>
        <v>#VALUE!</v>
      </c>
      <c r="K10" s="220" t="e">
        <f ca="1">GovCo!K13*0.1</f>
        <v>#VALUE!</v>
      </c>
      <c r="L10" s="220" t="e">
        <f ca="1">GovCo!L13*0.1</f>
        <v>#VALUE!</v>
      </c>
      <c r="M10" s="220" t="e">
        <f ca="1">GovCo!M13*0.1</f>
        <v>#VALUE!</v>
      </c>
    </row>
    <row r="11" spans="1:13" x14ac:dyDescent="0.3">
      <c r="A11" s="176" t="s">
        <v>636</v>
      </c>
      <c r="B11" s="199" t="s">
        <v>637</v>
      </c>
      <c r="C11" s="178">
        <v>8</v>
      </c>
      <c r="D11" s="178">
        <v>8</v>
      </c>
      <c r="E11" s="178">
        <v>9</v>
      </c>
      <c r="F11" s="178">
        <v>9</v>
      </c>
      <c r="G11" s="178">
        <v>9</v>
      </c>
      <c r="H11" s="178">
        <v>10</v>
      </c>
      <c r="I11" s="178">
        <v>10</v>
      </c>
      <c r="J11" s="178">
        <v>11</v>
      </c>
      <c r="K11" s="178">
        <v>11</v>
      </c>
      <c r="L11" s="178">
        <v>12</v>
      </c>
      <c r="M11" s="178">
        <v>12</v>
      </c>
    </row>
    <row r="12" spans="1:13" x14ac:dyDescent="0.3">
      <c r="A12" s="179" t="s">
        <v>418</v>
      </c>
      <c r="B12" s="199"/>
      <c r="C12" s="178" t="e">
        <f t="shared" ref="C12:M12" ca="1" si="1">SUM(C10:C11)</f>
        <v>#VALUE!</v>
      </c>
      <c r="D12" s="178" t="e">
        <f t="shared" ca="1" si="1"/>
        <v>#VALUE!</v>
      </c>
      <c r="E12" s="178" t="e">
        <f t="shared" ca="1" si="1"/>
        <v>#VALUE!</v>
      </c>
      <c r="F12" s="178" t="e">
        <f t="shared" ca="1" si="1"/>
        <v>#VALUE!</v>
      </c>
      <c r="G12" s="178" t="e">
        <f t="shared" ca="1" si="1"/>
        <v>#VALUE!</v>
      </c>
      <c r="H12" s="178" t="e">
        <f t="shared" ca="1" si="1"/>
        <v>#VALUE!</v>
      </c>
      <c r="I12" s="178" t="e">
        <f t="shared" ca="1" si="1"/>
        <v>#VALUE!</v>
      </c>
      <c r="J12" s="178" t="e">
        <f t="shared" ca="1" si="1"/>
        <v>#VALUE!</v>
      </c>
      <c r="K12" s="178" t="e">
        <f t="shared" ca="1" si="1"/>
        <v>#VALUE!</v>
      </c>
      <c r="L12" s="178" t="e">
        <f t="shared" ca="1" si="1"/>
        <v>#VALUE!</v>
      </c>
      <c r="M12" s="178" t="e">
        <f t="shared" ca="1" si="1"/>
        <v>#VALUE!</v>
      </c>
    </row>
    <row r="13" spans="1:13" x14ac:dyDescent="0.3">
      <c r="A13" s="281" t="s">
        <v>638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</row>
    <row r="14" spans="1:13" x14ac:dyDescent="0.3">
      <c r="A14" s="200" t="s">
        <v>639</v>
      </c>
      <c r="B14" s="202"/>
      <c r="C14" s="203" t="e">
        <f t="shared" ref="C14:M14" ca="1" si="2">C8-C12</f>
        <v>#VALUE!</v>
      </c>
      <c r="D14" s="203" t="e">
        <f t="shared" ca="1" si="2"/>
        <v>#VALUE!</v>
      </c>
      <c r="E14" s="203" t="e">
        <f t="shared" ca="1" si="2"/>
        <v>#VALUE!</v>
      </c>
      <c r="F14" s="203" t="e">
        <f t="shared" ca="1" si="2"/>
        <v>#VALUE!</v>
      </c>
      <c r="G14" s="203" t="e">
        <f t="shared" ca="1" si="2"/>
        <v>#VALUE!</v>
      </c>
      <c r="H14" s="203" t="e">
        <f t="shared" ca="1" si="2"/>
        <v>#VALUE!</v>
      </c>
      <c r="I14" s="203" t="e">
        <f t="shared" ca="1" si="2"/>
        <v>#VALUE!</v>
      </c>
      <c r="J14" s="203" t="e">
        <f t="shared" ca="1" si="2"/>
        <v>#VALUE!</v>
      </c>
      <c r="K14" s="203" t="e">
        <f t="shared" ca="1" si="2"/>
        <v>#VALUE!</v>
      </c>
      <c r="L14" s="203" t="e">
        <f t="shared" ca="1" si="2"/>
        <v>#VALUE!</v>
      </c>
      <c r="M14" s="203" t="e">
        <f t="shared" ca="1" si="2"/>
        <v>#VALUE!</v>
      </c>
    </row>
    <row r="15" spans="1:13" x14ac:dyDescent="0.3">
      <c r="A15" s="276" t="s">
        <v>424</v>
      </c>
      <c r="B15" s="259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</row>
    <row r="16" spans="1:13" x14ac:dyDescent="0.3">
      <c r="A16" s="183" t="s">
        <v>640</v>
      </c>
      <c r="B16" s="197" t="s">
        <v>641</v>
      </c>
      <c r="C16" s="185" t="e">
        <f t="shared" ref="C16:M16" ca="1" si="3">IF(C8=0,"-",C5/C8)</f>
        <v>#VALUE!</v>
      </c>
      <c r="D16" s="185" t="e">
        <f t="shared" ca="1" si="3"/>
        <v>#VALUE!</v>
      </c>
      <c r="E16" s="185" t="e">
        <f t="shared" ca="1" si="3"/>
        <v>#VALUE!</v>
      </c>
      <c r="F16" s="185" t="e">
        <f t="shared" ca="1" si="3"/>
        <v>#VALUE!</v>
      </c>
      <c r="G16" s="185" t="e">
        <f t="shared" ca="1" si="3"/>
        <v>#VALUE!</v>
      </c>
      <c r="H16" s="185" t="e">
        <f t="shared" ca="1" si="3"/>
        <v>#VALUE!</v>
      </c>
      <c r="I16" s="185" t="e">
        <f t="shared" ca="1" si="3"/>
        <v>#VALUE!</v>
      </c>
      <c r="J16" s="185" t="e">
        <f t="shared" ca="1" si="3"/>
        <v>#VALUE!</v>
      </c>
      <c r="K16" s="185" t="e">
        <f t="shared" ca="1" si="3"/>
        <v>#VALUE!</v>
      </c>
      <c r="L16" s="185" t="e">
        <f t="shared" ca="1" si="3"/>
        <v>#VALUE!</v>
      </c>
      <c r="M16" s="185" t="e">
        <f t="shared" ca="1" si="3"/>
        <v>#VALUE!</v>
      </c>
    </row>
    <row r="17" spans="1:13" x14ac:dyDescent="0.3">
      <c r="A17" s="183" t="s">
        <v>642</v>
      </c>
      <c r="B17" s="197" t="s">
        <v>643</v>
      </c>
      <c r="C17" s="185" t="e">
        <f t="shared" ref="C17:M17" ca="1" si="4">IF(C10=0,"-",C5/C10)</f>
        <v>#VALUE!</v>
      </c>
      <c r="D17" s="185" t="e">
        <f t="shared" ca="1" si="4"/>
        <v>#VALUE!</v>
      </c>
      <c r="E17" s="185" t="e">
        <f t="shared" ca="1" si="4"/>
        <v>#VALUE!</v>
      </c>
      <c r="F17" s="185" t="e">
        <f t="shared" ca="1" si="4"/>
        <v>#VALUE!</v>
      </c>
      <c r="G17" s="185" t="e">
        <f t="shared" ca="1" si="4"/>
        <v>#VALUE!</v>
      </c>
      <c r="H17" s="185" t="e">
        <f t="shared" ca="1" si="4"/>
        <v>#VALUE!</v>
      </c>
      <c r="I17" s="185" t="e">
        <f t="shared" ca="1" si="4"/>
        <v>#VALUE!</v>
      </c>
      <c r="J17" s="185" t="e">
        <f t="shared" ca="1" si="4"/>
        <v>#VALUE!</v>
      </c>
      <c r="K17" s="185" t="e">
        <f t="shared" ca="1" si="4"/>
        <v>#VALUE!</v>
      </c>
      <c r="L17" s="185" t="e">
        <f t="shared" ca="1" si="4"/>
        <v>#VALUE!</v>
      </c>
      <c r="M17" s="185" t="e">
        <f t="shared" ca="1" si="4"/>
        <v>#VALUE!</v>
      </c>
    </row>
  </sheetData>
  <mergeCells count="6">
    <mergeCell ref="A13:M13"/>
    <mergeCell ref="A1:M1"/>
    <mergeCell ref="A9:M9"/>
    <mergeCell ref="A4:M4"/>
    <mergeCell ref="A15:M15"/>
    <mergeCell ref="A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7"/>
  <sheetViews>
    <sheetView workbookViewId="0"/>
  </sheetViews>
  <sheetFormatPr defaultRowHeight="14.4" x14ac:dyDescent="0.3"/>
  <cols>
    <col min="1" max="1" width="52" customWidth="1"/>
    <col min="2" max="2" width="42" customWidth="1"/>
    <col min="3" max="13" width="10" customWidth="1"/>
  </cols>
  <sheetData>
    <row r="1" spans="1:13" x14ac:dyDescent="0.3">
      <c r="A1" s="268" t="s">
        <v>644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x14ac:dyDescent="0.3">
      <c r="A2" s="272" t="s">
        <v>645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</row>
    <row r="3" spans="1:13" ht="24.6" x14ac:dyDescent="0.3">
      <c r="A3" s="165" t="s">
        <v>106</v>
      </c>
      <c r="B3" s="165" t="s">
        <v>107</v>
      </c>
      <c r="C3" s="171" t="s">
        <v>108</v>
      </c>
      <c r="D3" s="171" t="s">
        <v>109</v>
      </c>
      <c r="E3" s="171" t="s">
        <v>110</v>
      </c>
      <c r="F3" s="171" t="s">
        <v>111</v>
      </c>
      <c r="G3" s="171" t="s">
        <v>112</v>
      </c>
      <c r="H3" s="171" t="s">
        <v>113</v>
      </c>
      <c r="I3" s="171" t="s">
        <v>114</v>
      </c>
      <c r="J3" s="171" t="s">
        <v>115</v>
      </c>
      <c r="K3" s="171" t="s">
        <v>116</v>
      </c>
      <c r="L3" s="171" t="s">
        <v>117</v>
      </c>
      <c r="M3" s="171" t="s">
        <v>118</v>
      </c>
    </row>
    <row r="4" spans="1:13" x14ac:dyDescent="0.3">
      <c r="A4" s="277" t="s">
        <v>404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</row>
    <row r="5" spans="1:13" x14ac:dyDescent="0.3">
      <c r="A5" s="172" t="s">
        <v>646</v>
      </c>
      <c r="B5" s="195" t="s">
        <v>647</v>
      </c>
      <c r="C5" s="245" t="e">
        <f ca="1">GovCo!C18-FedCo!C4-HedgeCo!C4-AmeriCo!C10-FinServCo!C5-AmeriBankCo!C6-HouseholdCo!C8-InsuranceCo!C5</f>
        <v>#VALUE!</v>
      </c>
      <c r="D5" s="245" t="e">
        <f ca="1">GovCo!D18-FedCo!D4-HedgeCo!D4-AmeriCo!D10-FinServCo!D5-AmeriBankCo!D6-HouseholdCo!D8-InsuranceCo!D5</f>
        <v>#VALUE!</v>
      </c>
      <c r="E5" s="245" t="e">
        <f ca="1">GovCo!E18-FedCo!E4-HedgeCo!E4-AmeriCo!E10-FinServCo!E5-AmeriBankCo!E6-HouseholdCo!E8-InsuranceCo!E5</f>
        <v>#VALUE!</v>
      </c>
      <c r="F5" s="245" t="e">
        <f ca="1">GovCo!F18-FedCo!F4-HedgeCo!F4-AmeriCo!F10-FinServCo!F5-AmeriBankCo!F6-HouseholdCo!F8-InsuranceCo!F5</f>
        <v>#VALUE!</v>
      </c>
      <c r="G5" s="245" t="e">
        <f ca="1">GovCo!G18-FedCo!G4-HedgeCo!G4-AmeriCo!G10-FinServCo!G5-AmeriBankCo!G6-HouseholdCo!G8-InsuranceCo!G5</f>
        <v>#VALUE!</v>
      </c>
      <c r="H5" s="245" t="e">
        <f ca="1">GovCo!H18-FedCo!H4-HedgeCo!H4-AmeriCo!H10-FinServCo!H5-AmeriBankCo!H6-HouseholdCo!H8-InsuranceCo!H5</f>
        <v>#VALUE!</v>
      </c>
      <c r="I5" s="245" t="e">
        <f ca="1">GovCo!I18-FedCo!I4-HedgeCo!I4-AmeriCo!I10-FinServCo!I5-AmeriBankCo!I6-HouseholdCo!I8-InsuranceCo!I5</f>
        <v>#VALUE!</v>
      </c>
      <c r="J5" s="245" t="e">
        <f ca="1">GovCo!J18-FedCo!J4-HedgeCo!J4-AmeriCo!J10-FinServCo!J5-AmeriBankCo!J6-HouseholdCo!J8-InsuranceCo!J5</f>
        <v>#VALUE!</v>
      </c>
      <c r="K5" s="245" t="e">
        <f ca="1">GovCo!K18-FedCo!K4-HedgeCo!K4-AmeriCo!K10-FinServCo!K5-AmeriBankCo!K6-HouseholdCo!K8-InsuranceCo!K5</f>
        <v>#VALUE!</v>
      </c>
      <c r="L5" s="245" t="e">
        <f ca="1">GovCo!L18-FedCo!L4-HedgeCo!L4-AmeriCo!L10-FinServCo!L5-AmeriBankCo!L6-HouseholdCo!L8-InsuranceCo!L5</f>
        <v>#VALUE!</v>
      </c>
      <c r="M5" s="245" t="e">
        <f ca="1">GovCo!M18-FedCo!M4-HedgeCo!M4-AmeriCo!M10-FinServCo!M5-AmeriBankCo!M6-HouseholdCo!M8-InsuranceCo!M5</f>
        <v>#VALUE!</v>
      </c>
    </row>
    <row r="6" spans="1:13" x14ac:dyDescent="0.3">
      <c r="A6" s="172" t="s">
        <v>648</v>
      </c>
      <c r="B6" s="195" t="s">
        <v>649</v>
      </c>
      <c r="C6" s="174">
        <v>80</v>
      </c>
      <c r="D6" s="174">
        <v>82</v>
      </c>
      <c r="E6" s="174">
        <v>84</v>
      </c>
      <c r="F6" s="174">
        <v>86</v>
      </c>
      <c r="G6" s="174">
        <v>82</v>
      </c>
      <c r="H6" s="174">
        <v>85</v>
      </c>
      <c r="I6" s="174">
        <v>88</v>
      </c>
      <c r="J6" s="174">
        <v>90</v>
      </c>
      <c r="K6" s="174">
        <v>92</v>
      </c>
      <c r="L6" s="174">
        <v>94</v>
      </c>
      <c r="M6" s="174">
        <v>90</v>
      </c>
    </row>
    <row r="7" spans="1:13" x14ac:dyDescent="0.3">
      <c r="A7" s="172" t="s">
        <v>650</v>
      </c>
      <c r="B7" s="195" t="s">
        <v>651</v>
      </c>
      <c r="C7" s="217">
        <f>FedCo!C9*0.15</f>
        <v>30</v>
      </c>
      <c r="D7" s="217">
        <f>FedCo!D9*0.15</f>
        <v>30</v>
      </c>
      <c r="E7" s="217">
        <f>FedCo!E9*0.15</f>
        <v>30</v>
      </c>
      <c r="F7" s="217">
        <f>FedCo!F9*0.15</f>
        <v>30</v>
      </c>
      <c r="G7" s="217">
        <f>FedCo!G9*0.15</f>
        <v>30</v>
      </c>
      <c r="H7" s="217">
        <f>FedCo!H9*0.15</f>
        <v>30</v>
      </c>
      <c r="I7" s="217">
        <f>FedCo!I9*0.15</f>
        <v>30</v>
      </c>
      <c r="J7" s="217">
        <f>FedCo!J9*0.15</f>
        <v>30</v>
      </c>
      <c r="K7" s="217">
        <f>FedCo!K9*0.15</f>
        <v>30</v>
      </c>
      <c r="L7" s="217">
        <f>FedCo!L9*0.15</f>
        <v>30</v>
      </c>
      <c r="M7" s="217">
        <f>FedCo!M9*0.15</f>
        <v>30</v>
      </c>
    </row>
    <row r="8" spans="1:13" x14ac:dyDescent="0.3">
      <c r="A8" s="175" t="s">
        <v>409</v>
      </c>
      <c r="B8" s="195"/>
      <c r="C8" s="174" t="e">
        <f t="shared" ref="C8:M8" ca="1" si="0">SUM(C5:C7)</f>
        <v>#VALUE!</v>
      </c>
      <c r="D8" s="174" t="e">
        <f t="shared" ca="1" si="0"/>
        <v>#VALUE!</v>
      </c>
      <c r="E8" s="174" t="e">
        <f t="shared" ca="1" si="0"/>
        <v>#VALUE!</v>
      </c>
      <c r="F8" s="174" t="e">
        <f t="shared" ca="1" si="0"/>
        <v>#VALUE!</v>
      </c>
      <c r="G8" s="174" t="e">
        <f t="shared" ca="1" si="0"/>
        <v>#VALUE!</v>
      </c>
      <c r="H8" s="174" t="e">
        <f t="shared" ca="1" si="0"/>
        <v>#VALUE!</v>
      </c>
      <c r="I8" s="174" t="e">
        <f t="shared" ca="1" si="0"/>
        <v>#VALUE!</v>
      </c>
      <c r="J8" s="174" t="e">
        <f t="shared" ca="1" si="0"/>
        <v>#VALUE!</v>
      </c>
      <c r="K8" s="174" t="e">
        <f t="shared" ca="1" si="0"/>
        <v>#VALUE!</v>
      </c>
      <c r="L8" s="174" t="e">
        <f t="shared" ca="1" si="0"/>
        <v>#VALUE!</v>
      </c>
      <c r="M8" s="174" t="e">
        <f t="shared" ca="1" si="0"/>
        <v>#VALUE!</v>
      </c>
    </row>
    <row r="9" spans="1:13" x14ac:dyDescent="0.3">
      <c r="A9" s="278" t="s">
        <v>410</v>
      </c>
      <c r="B9" s="259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</row>
    <row r="10" spans="1:13" x14ac:dyDescent="0.3">
      <c r="A10" s="176" t="s">
        <v>652</v>
      </c>
      <c r="B10" s="199" t="s">
        <v>653</v>
      </c>
      <c r="C10" s="178">
        <v>60</v>
      </c>
      <c r="D10" s="178">
        <v>62</v>
      </c>
      <c r="E10" s="178">
        <v>64</v>
      </c>
      <c r="F10" s="178">
        <v>66</v>
      </c>
      <c r="G10" s="178">
        <v>64</v>
      </c>
      <c r="H10" s="178">
        <v>67</v>
      </c>
      <c r="I10" s="178">
        <v>70</v>
      </c>
      <c r="J10" s="178">
        <v>72</v>
      </c>
      <c r="K10" s="178">
        <v>74</v>
      </c>
      <c r="L10" s="178">
        <v>76</v>
      </c>
      <c r="M10" s="178">
        <v>74</v>
      </c>
    </row>
    <row r="11" spans="1:13" x14ac:dyDescent="0.3">
      <c r="A11" s="176" t="s">
        <v>654</v>
      </c>
      <c r="B11" s="199" t="s">
        <v>655</v>
      </c>
      <c r="C11" s="178">
        <v>20</v>
      </c>
      <c r="D11" s="178">
        <v>20</v>
      </c>
      <c r="E11" s="178">
        <v>21</v>
      </c>
      <c r="F11" s="178">
        <v>21</v>
      </c>
      <c r="G11" s="178">
        <v>21</v>
      </c>
      <c r="H11" s="178">
        <v>22</v>
      </c>
      <c r="I11" s="178">
        <v>22</v>
      </c>
      <c r="J11" s="178">
        <v>23</v>
      </c>
      <c r="K11" s="178">
        <v>23</v>
      </c>
      <c r="L11" s="178">
        <v>24</v>
      </c>
      <c r="M11" s="178">
        <v>24</v>
      </c>
    </row>
    <row r="12" spans="1:13" x14ac:dyDescent="0.3">
      <c r="A12" s="179" t="s">
        <v>418</v>
      </c>
      <c r="B12" s="199"/>
      <c r="C12" s="178">
        <f t="shared" ref="C12:M12" si="1">SUM(C10:C11)</f>
        <v>80</v>
      </c>
      <c r="D12" s="178">
        <f t="shared" si="1"/>
        <v>82</v>
      </c>
      <c r="E12" s="178">
        <f t="shared" si="1"/>
        <v>85</v>
      </c>
      <c r="F12" s="178">
        <f t="shared" si="1"/>
        <v>87</v>
      </c>
      <c r="G12" s="178">
        <f t="shared" si="1"/>
        <v>85</v>
      </c>
      <c r="H12" s="178">
        <f t="shared" si="1"/>
        <v>89</v>
      </c>
      <c r="I12" s="178">
        <f t="shared" si="1"/>
        <v>92</v>
      </c>
      <c r="J12" s="178">
        <f t="shared" si="1"/>
        <v>95</v>
      </c>
      <c r="K12" s="178">
        <f t="shared" si="1"/>
        <v>97</v>
      </c>
      <c r="L12" s="178">
        <f t="shared" si="1"/>
        <v>100</v>
      </c>
      <c r="M12" s="178">
        <f t="shared" si="1"/>
        <v>98</v>
      </c>
    </row>
    <row r="13" spans="1:13" x14ac:dyDescent="0.3">
      <c r="A13" s="281" t="s">
        <v>638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</row>
    <row r="14" spans="1:13" x14ac:dyDescent="0.3">
      <c r="A14" s="200" t="s">
        <v>639</v>
      </c>
      <c r="B14" s="202"/>
      <c r="C14" s="203" t="e">
        <f t="shared" ref="C14:M14" ca="1" si="2">C8-C12</f>
        <v>#VALUE!</v>
      </c>
      <c r="D14" s="203" t="e">
        <f t="shared" ca="1" si="2"/>
        <v>#VALUE!</v>
      </c>
      <c r="E14" s="203" t="e">
        <f t="shared" ca="1" si="2"/>
        <v>#VALUE!</v>
      </c>
      <c r="F14" s="203" t="e">
        <f t="shared" ca="1" si="2"/>
        <v>#VALUE!</v>
      </c>
      <c r="G14" s="203" t="e">
        <f t="shared" ca="1" si="2"/>
        <v>#VALUE!</v>
      </c>
      <c r="H14" s="203" t="e">
        <f t="shared" ca="1" si="2"/>
        <v>#VALUE!</v>
      </c>
      <c r="I14" s="203" t="e">
        <f t="shared" ca="1" si="2"/>
        <v>#VALUE!</v>
      </c>
      <c r="J14" s="203" t="e">
        <f t="shared" ca="1" si="2"/>
        <v>#VALUE!</v>
      </c>
      <c r="K14" s="203" t="e">
        <f t="shared" ca="1" si="2"/>
        <v>#VALUE!</v>
      </c>
      <c r="L14" s="203" t="e">
        <f t="shared" ca="1" si="2"/>
        <v>#VALUE!</v>
      </c>
      <c r="M14" s="203" t="e">
        <f t="shared" ca="1" si="2"/>
        <v>#VALUE!</v>
      </c>
    </row>
    <row r="15" spans="1:13" x14ac:dyDescent="0.3">
      <c r="A15" s="276" t="s">
        <v>424</v>
      </c>
      <c r="B15" s="259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</row>
    <row r="16" spans="1:13" x14ac:dyDescent="0.3">
      <c r="A16" s="183" t="s">
        <v>656</v>
      </c>
      <c r="B16" s="197" t="s">
        <v>657</v>
      </c>
      <c r="C16" s="185" t="e">
        <f t="shared" ref="C16:M16" ca="1" si="3">IF(C8=0,"-",C5/C8)</f>
        <v>#VALUE!</v>
      </c>
      <c r="D16" s="185" t="e">
        <f t="shared" ca="1" si="3"/>
        <v>#VALUE!</v>
      </c>
      <c r="E16" s="185" t="e">
        <f t="shared" ca="1" si="3"/>
        <v>#VALUE!</v>
      </c>
      <c r="F16" s="185" t="e">
        <f t="shared" ca="1" si="3"/>
        <v>#VALUE!</v>
      </c>
      <c r="G16" s="185" t="e">
        <f t="shared" ca="1" si="3"/>
        <v>#VALUE!</v>
      </c>
      <c r="H16" s="185" t="e">
        <f t="shared" ca="1" si="3"/>
        <v>#VALUE!</v>
      </c>
      <c r="I16" s="185" t="e">
        <f t="shared" ca="1" si="3"/>
        <v>#VALUE!</v>
      </c>
      <c r="J16" s="185" t="e">
        <f t="shared" ca="1" si="3"/>
        <v>#VALUE!</v>
      </c>
      <c r="K16" s="185" t="e">
        <f t="shared" ca="1" si="3"/>
        <v>#VALUE!</v>
      </c>
      <c r="L16" s="185" t="e">
        <f t="shared" ca="1" si="3"/>
        <v>#VALUE!</v>
      </c>
      <c r="M16" s="185" t="e">
        <f t="shared" ca="1" si="3"/>
        <v>#VALUE!</v>
      </c>
    </row>
    <row r="17" spans="1:13" x14ac:dyDescent="0.3">
      <c r="A17" s="183" t="s">
        <v>658</v>
      </c>
      <c r="B17" s="197" t="s">
        <v>659</v>
      </c>
      <c r="C17" s="185" t="e">
        <f t="shared" ref="C17:M17" ca="1" si="4">IF(C8=0,"-",C6/C8)</f>
        <v>#VALUE!</v>
      </c>
      <c r="D17" s="185" t="e">
        <f t="shared" ca="1" si="4"/>
        <v>#VALUE!</v>
      </c>
      <c r="E17" s="185" t="e">
        <f t="shared" ca="1" si="4"/>
        <v>#VALUE!</v>
      </c>
      <c r="F17" s="185" t="e">
        <f t="shared" ca="1" si="4"/>
        <v>#VALUE!</v>
      </c>
      <c r="G17" s="185" t="e">
        <f t="shared" ca="1" si="4"/>
        <v>#VALUE!</v>
      </c>
      <c r="H17" s="185" t="e">
        <f t="shared" ca="1" si="4"/>
        <v>#VALUE!</v>
      </c>
      <c r="I17" s="185" t="e">
        <f t="shared" ca="1" si="4"/>
        <v>#VALUE!</v>
      </c>
      <c r="J17" s="185" t="e">
        <f t="shared" ca="1" si="4"/>
        <v>#VALUE!</v>
      </c>
      <c r="K17" s="185" t="e">
        <f t="shared" ca="1" si="4"/>
        <v>#VALUE!</v>
      </c>
      <c r="L17" s="185" t="e">
        <f t="shared" ca="1" si="4"/>
        <v>#VALUE!</v>
      </c>
      <c r="M17" s="185" t="e">
        <f t="shared" ca="1" si="4"/>
        <v>#VALUE!</v>
      </c>
    </row>
  </sheetData>
  <mergeCells count="6">
    <mergeCell ref="A13:M13"/>
    <mergeCell ref="A1:M1"/>
    <mergeCell ref="A9:M9"/>
    <mergeCell ref="A4:M4"/>
    <mergeCell ref="A15:M15"/>
    <mergeCell ref="A2:M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M78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52" customWidth="1"/>
    <col min="3" max="13" width="9" customWidth="1"/>
  </cols>
  <sheetData>
    <row r="1" spans="1:13" ht="21.75" customHeight="1" x14ac:dyDescent="0.3">
      <c r="A1" s="273" t="s">
        <v>660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ht="27.75" customHeight="1" x14ac:dyDescent="0.3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117</v>
      </c>
      <c r="M2" s="7" t="s">
        <v>118</v>
      </c>
    </row>
    <row r="3" spans="1:13" ht="15" customHeight="1" x14ac:dyDescent="0.3">
      <c r="A3" s="258" t="s">
        <v>404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</row>
    <row r="4" spans="1:13" ht="21.75" customHeight="1" x14ac:dyDescent="0.3">
      <c r="A4" s="24" t="s">
        <v>661</v>
      </c>
      <c r="B4" s="25" t="s">
        <v>662</v>
      </c>
      <c r="C4" s="27">
        <v>650</v>
      </c>
      <c r="D4" s="28">
        <f>C4+ASSUMPTIONS!D15*ASSUMPTIONS!D14</f>
        <v>650.9</v>
      </c>
      <c r="E4" s="28">
        <f>D4+ASSUMPTIONS!E15*ASSUMPTIONS!E14</f>
        <v>652.4</v>
      </c>
      <c r="F4" s="28">
        <f>E4+ASSUMPTIONS!F15*ASSUMPTIONS!F14</f>
        <v>654.19999999999993</v>
      </c>
      <c r="G4" s="28">
        <f>F4+ASSUMPTIONS!G15*ASSUMPTIONS!G14</f>
        <v>655.99999999999989</v>
      </c>
      <c r="H4" s="28">
        <f>G4+ASSUMPTIONS!H15*ASSUMPTIONS!H14</f>
        <v>657.94999999999993</v>
      </c>
      <c r="I4" s="28">
        <f>H4+ASSUMPTIONS!I15*ASSUMPTIONS!I14</f>
        <v>660.46999999999991</v>
      </c>
      <c r="J4" s="28">
        <f>I4+ASSUMPTIONS!J15*ASSUMPTIONS!J14</f>
        <v>662.56999999999994</v>
      </c>
      <c r="K4" s="28">
        <f>J4+ASSUMPTIONS!K15*ASSUMPTIONS!K14</f>
        <v>664.67</v>
      </c>
      <c r="L4" s="28">
        <f>K4+ASSUMPTIONS!L15*ASSUMPTIONS!L14</f>
        <v>666.34999999999991</v>
      </c>
      <c r="M4" s="28">
        <f>L4+ASSUMPTIONS!M15*ASSUMPTIONS!M14</f>
        <v>667.79</v>
      </c>
    </row>
    <row r="5" spans="1:13" ht="21.75" customHeight="1" x14ac:dyDescent="0.3">
      <c r="A5" s="24" t="s">
        <v>663</v>
      </c>
      <c r="B5" s="25" t="s">
        <v>664</v>
      </c>
      <c r="C5" s="27">
        <v>40</v>
      </c>
      <c r="D5" s="28">
        <f>C5+ASSUMPTIONS!D12*(1-ASSUMPTIONS!D13)*ASSUMPTIONS!D14</f>
        <v>57.954999999999998</v>
      </c>
      <c r="E5" s="28">
        <f>D5+ASSUMPTIONS!E12*(1-ASSUMPTIONS!E13)*ASSUMPTIONS!E14</f>
        <v>91.204999999999998</v>
      </c>
      <c r="F5" s="28">
        <f>E5+ASSUMPTIONS!F12*(1-ASSUMPTIONS!F13)*ASSUMPTIONS!F14</f>
        <v>131.94499999999999</v>
      </c>
      <c r="G5" s="28">
        <f>F5+ASSUMPTIONS!G12*(1-ASSUMPTIONS!G13)*ASSUMPTIONS!G14</f>
        <v>168.40100000000001</v>
      </c>
      <c r="H5" s="28">
        <f>G5+ASSUMPTIONS!H12*(1-ASSUMPTIONS!H13)*ASSUMPTIONS!H14</f>
        <v>212.99100000000001</v>
      </c>
      <c r="I5" s="28">
        <f>H5+ASSUMPTIONS!I12*(1-ASSUMPTIONS!I13)*ASSUMPTIONS!I14</f>
        <v>287.83500000000004</v>
      </c>
      <c r="J5" s="28">
        <f>I5+ASSUMPTIONS!J12*(1-ASSUMPTIONS!J13)*ASSUMPTIONS!J14</f>
        <v>324.58500000000004</v>
      </c>
      <c r="K5" s="28">
        <f>J5+ASSUMPTIONS!K12*(1-ASSUMPTIONS!K13)*ASSUMPTIONS!K14</f>
        <v>398.83500000000004</v>
      </c>
      <c r="L5" s="28">
        <f>K5+ASSUMPTIONS!L12*(1-ASSUMPTIONS!L13)*ASSUMPTIONS!L14</f>
        <v>481.99500000000006</v>
      </c>
      <c r="M5" s="28">
        <f>L5+ASSUMPTIONS!M12*(1-ASSUMPTIONS!M13)*ASSUMPTIONS!M14</f>
        <v>547.33500000000004</v>
      </c>
    </row>
    <row r="6" spans="1:13" ht="23.25" customHeight="1" x14ac:dyDescent="0.3">
      <c r="A6" s="24" t="s">
        <v>665</v>
      </c>
      <c r="B6" s="25" t="s">
        <v>666</v>
      </c>
      <c r="C6" s="27">
        <v>800</v>
      </c>
      <c r="D6" s="28">
        <f t="shared" ref="D6:M6" si="0">C6*1.04</f>
        <v>832</v>
      </c>
      <c r="E6" s="28">
        <f t="shared" si="0"/>
        <v>865.28</v>
      </c>
      <c r="F6" s="28">
        <f t="shared" si="0"/>
        <v>899.89120000000003</v>
      </c>
      <c r="G6" s="28">
        <f t="shared" si="0"/>
        <v>935.8868480000001</v>
      </c>
      <c r="H6" s="28">
        <f t="shared" si="0"/>
        <v>973.32232192000015</v>
      </c>
      <c r="I6" s="28">
        <f t="shared" si="0"/>
        <v>1012.2552147968001</v>
      </c>
      <c r="J6" s="28">
        <f t="shared" si="0"/>
        <v>1052.7454233886722</v>
      </c>
      <c r="K6" s="28">
        <f t="shared" si="0"/>
        <v>1094.855240324219</v>
      </c>
      <c r="L6" s="28">
        <f t="shared" si="0"/>
        <v>1138.6494499371879</v>
      </c>
      <c r="M6" s="28">
        <f t="shared" si="0"/>
        <v>1184.1954279346755</v>
      </c>
    </row>
    <row r="7" spans="1:13" ht="21.75" customHeight="1" x14ac:dyDescent="0.3">
      <c r="A7" s="24" t="s">
        <v>667</v>
      </c>
      <c r="B7" s="25" t="s">
        <v>668</v>
      </c>
      <c r="C7" s="27">
        <v>50</v>
      </c>
      <c r="D7" s="28">
        <f>C7+ASSUMPTIONS!D19</f>
        <v>50</v>
      </c>
      <c r="E7" s="28">
        <f>D7+ASSUMPTIONS!E19</f>
        <v>50</v>
      </c>
      <c r="F7" s="28">
        <f>E7+ASSUMPTIONS!F19</f>
        <v>50</v>
      </c>
      <c r="G7" s="28">
        <f>F7+ASSUMPTIONS!G19</f>
        <v>50</v>
      </c>
      <c r="H7" s="28">
        <f>G7+ASSUMPTIONS!H19</f>
        <v>50</v>
      </c>
      <c r="I7" s="28">
        <f>H7+ASSUMPTIONS!I19</f>
        <v>50</v>
      </c>
      <c r="J7" s="28">
        <f>I7+ASSUMPTIONS!J19</f>
        <v>50</v>
      </c>
      <c r="K7" s="28">
        <f>J7+ASSUMPTIONS!K19</f>
        <v>50</v>
      </c>
      <c r="L7" s="28">
        <f>K7+ASSUMPTIONS!L19</f>
        <v>50</v>
      </c>
      <c r="M7" s="28">
        <f>L7+ASSUMPTIONS!M19</f>
        <v>50</v>
      </c>
    </row>
    <row r="8" spans="1:13" ht="15" customHeight="1" x14ac:dyDescent="0.3">
      <c r="A8" s="30" t="s">
        <v>409</v>
      </c>
      <c r="B8" s="29"/>
      <c r="C8" s="28">
        <f t="shared" ref="C8:M8" si="1">SUM(C4:C7)</f>
        <v>1540</v>
      </c>
      <c r="D8" s="28">
        <f t="shared" si="1"/>
        <v>1590.855</v>
      </c>
      <c r="E8" s="28">
        <f t="shared" si="1"/>
        <v>1658.885</v>
      </c>
      <c r="F8" s="28">
        <f t="shared" si="1"/>
        <v>1736.0362</v>
      </c>
      <c r="G8" s="28">
        <f t="shared" si="1"/>
        <v>1810.2878479999999</v>
      </c>
      <c r="H8" s="28">
        <f t="shared" si="1"/>
        <v>1894.2633219200002</v>
      </c>
      <c r="I8" s="28">
        <f t="shared" si="1"/>
        <v>2010.5602147968002</v>
      </c>
      <c r="J8" s="28">
        <f t="shared" si="1"/>
        <v>2089.9004233886722</v>
      </c>
      <c r="K8" s="28">
        <f t="shared" si="1"/>
        <v>2208.3602403242194</v>
      </c>
      <c r="L8" s="28">
        <f t="shared" si="1"/>
        <v>2336.9944499371877</v>
      </c>
      <c r="M8" s="28">
        <f t="shared" si="1"/>
        <v>2449.3204279346755</v>
      </c>
    </row>
    <row r="10" spans="1:13" ht="15" customHeight="1" x14ac:dyDescent="0.3">
      <c r="A10" s="258" t="s">
        <v>410</v>
      </c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59"/>
    </row>
    <row r="11" spans="1:13" ht="15" customHeight="1" x14ac:dyDescent="0.3">
      <c r="A11" s="31" t="s">
        <v>669</v>
      </c>
      <c r="B11" s="34"/>
      <c r="C11" s="35">
        <v>400</v>
      </c>
      <c r="D11" s="33">
        <f t="shared" ref="D11:M11" si="2">C11*1.03</f>
        <v>412</v>
      </c>
      <c r="E11" s="33">
        <f t="shared" si="2"/>
        <v>424.36</v>
      </c>
      <c r="F11" s="33">
        <f t="shared" si="2"/>
        <v>437.0908</v>
      </c>
      <c r="G11" s="33">
        <f t="shared" si="2"/>
        <v>450.20352400000002</v>
      </c>
      <c r="H11" s="33">
        <f t="shared" si="2"/>
        <v>463.70962972000001</v>
      </c>
      <c r="I11" s="33">
        <f t="shared" si="2"/>
        <v>477.62091861160002</v>
      </c>
      <c r="J11" s="33">
        <f t="shared" si="2"/>
        <v>491.94954616994801</v>
      </c>
      <c r="K11" s="33">
        <f t="shared" si="2"/>
        <v>506.70803255504649</v>
      </c>
      <c r="L11" s="33">
        <f t="shared" si="2"/>
        <v>521.90927353169786</v>
      </c>
      <c r="M11" s="33">
        <f t="shared" si="2"/>
        <v>537.56655173764887</v>
      </c>
    </row>
    <row r="12" spans="1:13" ht="21.75" customHeight="1" x14ac:dyDescent="0.3">
      <c r="A12" s="31" t="s">
        <v>670</v>
      </c>
      <c r="B12" s="32" t="s">
        <v>671</v>
      </c>
      <c r="C12" s="35">
        <v>200</v>
      </c>
      <c r="D12" s="33">
        <f t="shared" ref="D12:M12" si="3">C12*0.98</f>
        <v>196</v>
      </c>
      <c r="E12" s="33">
        <f t="shared" si="3"/>
        <v>192.07999999999998</v>
      </c>
      <c r="F12" s="33">
        <f t="shared" si="3"/>
        <v>188.23839999999998</v>
      </c>
      <c r="G12" s="33">
        <f t="shared" si="3"/>
        <v>184.47363199999998</v>
      </c>
      <c r="H12" s="33">
        <f t="shared" si="3"/>
        <v>180.78415935999999</v>
      </c>
      <c r="I12" s="33">
        <f t="shared" si="3"/>
        <v>177.16847617279998</v>
      </c>
      <c r="J12" s="33">
        <f t="shared" si="3"/>
        <v>173.62510664934399</v>
      </c>
      <c r="K12" s="33">
        <f t="shared" si="3"/>
        <v>170.15260451635712</v>
      </c>
      <c r="L12" s="33">
        <f t="shared" si="3"/>
        <v>166.74955242602996</v>
      </c>
      <c r="M12" s="33">
        <f t="shared" si="3"/>
        <v>163.41456137750936</v>
      </c>
    </row>
    <row r="13" spans="1:13" ht="15" customHeight="1" x14ac:dyDescent="0.3">
      <c r="A13" s="36" t="s">
        <v>418</v>
      </c>
      <c r="B13" s="34"/>
      <c r="C13" s="33">
        <f t="shared" ref="C13:M13" si="4">SUM(C11:C12)</f>
        <v>600</v>
      </c>
      <c r="D13" s="33">
        <f t="shared" si="4"/>
        <v>608</v>
      </c>
      <c r="E13" s="33">
        <f t="shared" si="4"/>
        <v>616.44000000000005</v>
      </c>
      <c r="F13" s="33">
        <f t="shared" si="4"/>
        <v>625.32920000000001</v>
      </c>
      <c r="G13" s="33">
        <f t="shared" si="4"/>
        <v>634.67715599999997</v>
      </c>
      <c r="H13" s="33">
        <f t="shared" si="4"/>
        <v>644.49378907999994</v>
      </c>
      <c r="I13" s="33">
        <f t="shared" si="4"/>
        <v>654.78939478439997</v>
      </c>
      <c r="J13" s="33">
        <f t="shared" si="4"/>
        <v>665.57465281929194</v>
      </c>
      <c r="K13" s="33">
        <f t="shared" si="4"/>
        <v>676.86063707140363</v>
      </c>
      <c r="L13" s="33">
        <f t="shared" si="4"/>
        <v>688.6588259577278</v>
      </c>
      <c r="M13" s="33">
        <f t="shared" si="4"/>
        <v>700.98111311515822</v>
      </c>
    </row>
    <row r="15" spans="1:13" ht="15" customHeight="1" x14ac:dyDescent="0.3">
      <c r="A15" s="274" t="s">
        <v>424</v>
      </c>
      <c r="B15" s="259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</row>
    <row r="16" spans="1:13" ht="23.25" customHeight="1" x14ac:dyDescent="0.3">
      <c r="A16" s="41" t="s">
        <v>672</v>
      </c>
      <c r="B16" s="42" t="s">
        <v>673</v>
      </c>
      <c r="C16" s="62">
        <f>0</f>
        <v>0</v>
      </c>
      <c r="D16" s="62">
        <f>C16+ASSUMPTIONS!D12*(1-ASSUMPTIONS!D13)</f>
        <v>199.5</v>
      </c>
      <c r="E16" s="62">
        <f>D16+ASSUMPTIONS!E12*(1-ASSUMPTIONS!E13)</f>
        <v>532</v>
      </c>
      <c r="F16" s="62">
        <f>E16+ASSUMPTIONS!F12*(1-ASSUMPTIONS!F13)</f>
        <v>939.4</v>
      </c>
      <c r="G16" s="62">
        <f>F16+ASSUMPTIONS!G12*(1-ASSUMPTIONS!G13)</f>
        <v>1243.2</v>
      </c>
      <c r="H16" s="62">
        <f>G16+ASSUMPTIONS!H12*(1-ASSUMPTIONS!H13)</f>
        <v>1586.2</v>
      </c>
      <c r="I16" s="62">
        <f>H16+ASSUMPTIONS!I12*(1-ASSUMPTIONS!I13)</f>
        <v>2002</v>
      </c>
      <c r="J16" s="62">
        <f>I16+ASSUMPTIONS!J12*(1-ASSUMPTIONS!J13)</f>
        <v>2247</v>
      </c>
      <c r="K16" s="62">
        <f>J16+ASSUMPTIONS!K12*(1-ASSUMPTIONS!K13)</f>
        <v>2742</v>
      </c>
      <c r="L16" s="62">
        <f>K16+ASSUMPTIONS!L12*(1-ASSUMPTIONS!L13)</f>
        <v>3336</v>
      </c>
      <c r="M16" s="62">
        <f>L16+ASSUMPTIONS!M12*(1-ASSUMPTIONS!M13)</f>
        <v>3880.5</v>
      </c>
    </row>
    <row r="17" spans="1:13" ht="15" customHeight="1" x14ac:dyDescent="0.3">
      <c r="A17" s="41" t="s">
        <v>674</v>
      </c>
      <c r="B17" s="63"/>
      <c r="C17" s="64" t="str">
        <f>IF(ASSUMPTIONS!C20=1,"YES","NO")</f>
        <v>NO</v>
      </c>
      <c r="D17" s="64" t="str">
        <f>IF(ASSUMPTIONS!D20=1,"YES","NO")</f>
        <v>NO</v>
      </c>
      <c r="E17" s="64" t="str">
        <f>IF(ASSUMPTIONS!E20=1,"YES","NO")</f>
        <v>NO</v>
      </c>
      <c r="F17" s="64" t="str">
        <f>IF(ASSUMPTIONS!F20=1,"YES","NO")</f>
        <v>NO</v>
      </c>
      <c r="G17" s="64" t="str">
        <f>IF(ASSUMPTIONS!G20=1,"YES","NO")</f>
        <v>NO</v>
      </c>
      <c r="H17" s="64" t="str">
        <f>IF(ASSUMPTIONS!H20=1,"YES","NO")</f>
        <v>NO</v>
      </c>
      <c r="I17" s="64" t="str">
        <f>IF(ASSUMPTIONS!I20=1,"YES","NO")</f>
        <v>NO</v>
      </c>
      <c r="J17" s="64" t="str">
        <f>IF(ASSUMPTIONS!J20=1,"YES","NO")</f>
        <v>NO</v>
      </c>
      <c r="K17" s="64" t="str">
        <f>IF(ASSUMPTIONS!K20=1,"YES","NO")</f>
        <v>NO</v>
      </c>
      <c r="L17" s="64" t="str">
        <f>IF(ASSUMPTIONS!L20=1,"YES","NO")</f>
        <v>NO</v>
      </c>
      <c r="M17" s="64" t="str">
        <f>IF(ASSUMPTIONS!M20=1,"YES","NO")</f>
        <v>NO</v>
      </c>
    </row>
    <row r="18" spans="1:13" ht="23.25" customHeight="1" x14ac:dyDescent="0.3">
      <c r="A18" s="41" t="s">
        <v>675</v>
      </c>
      <c r="B18" s="63"/>
      <c r="C18" s="44" t="str">
        <f t="shared" ref="C18:M18" si="5">IF(C16=0,"-",C5/C16)</f>
        <v>-</v>
      </c>
      <c r="D18" s="44">
        <f t="shared" si="5"/>
        <v>0.29050125313283209</v>
      </c>
      <c r="E18" s="44">
        <f t="shared" si="5"/>
        <v>0.17143796992481203</v>
      </c>
      <c r="F18" s="44">
        <f t="shared" si="5"/>
        <v>0.14045667447306792</v>
      </c>
      <c r="G18" s="44">
        <f t="shared" si="5"/>
        <v>0.13545768983268983</v>
      </c>
      <c r="H18" s="44">
        <f t="shared" si="5"/>
        <v>0.13427751859790696</v>
      </c>
      <c r="I18" s="44">
        <f t="shared" si="5"/>
        <v>0.14377372627372628</v>
      </c>
      <c r="J18" s="44">
        <f t="shared" si="5"/>
        <v>0.14445260347129507</v>
      </c>
      <c r="K18" s="44">
        <f t="shared" si="5"/>
        <v>0.14545404814004378</v>
      </c>
      <c r="L18" s="44">
        <f t="shared" si="5"/>
        <v>0.14448291366906477</v>
      </c>
      <c r="M18" s="44">
        <f t="shared" si="5"/>
        <v>0.14104754541940473</v>
      </c>
    </row>
    <row r="20" spans="1:13" x14ac:dyDescent="0.3">
      <c r="A20" s="261" t="s">
        <v>676</v>
      </c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</row>
    <row r="21" spans="1:13" x14ac:dyDescent="0.3">
      <c r="A21" s="172" t="s">
        <v>677</v>
      </c>
      <c r="B21" s="195" t="s">
        <v>678</v>
      </c>
      <c r="C21" s="217">
        <f>ASSUMPTIONS!C108</f>
        <v>800</v>
      </c>
      <c r="D21" s="217">
        <f>ASSUMPTIONS!D108</f>
        <v>800</v>
      </c>
      <c r="E21" s="217">
        <f>ASSUMPTIONS!E108</f>
        <v>810</v>
      </c>
      <c r="F21" s="217">
        <f>ASSUMPTIONS!F108</f>
        <v>820</v>
      </c>
      <c r="G21" s="217">
        <f>ASSUMPTIONS!G108</f>
        <v>830</v>
      </c>
      <c r="H21" s="217">
        <f>ASSUMPTIONS!H108</f>
        <v>840</v>
      </c>
      <c r="I21" s="217">
        <f>ASSUMPTIONS!I108</f>
        <v>850</v>
      </c>
      <c r="J21" s="217">
        <f>ASSUMPTIONS!J108</f>
        <v>860</v>
      </c>
      <c r="K21" s="217">
        <f>ASSUMPTIONS!K108</f>
        <v>860</v>
      </c>
      <c r="L21" s="217">
        <f>ASSUMPTIONS!L108</f>
        <v>840</v>
      </c>
      <c r="M21" s="217">
        <f>ASSUMPTIONS!M108</f>
        <v>830</v>
      </c>
    </row>
    <row r="22" spans="1:13" x14ac:dyDescent="0.3">
      <c r="A22" s="180" t="s">
        <v>679</v>
      </c>
      <c r="B22" s="193" t="s">
        <v>680</v>
      </c>
      <c r="C22" s="248">
        <f>ASSUMPTIONS!C106</f>
        <v>1</v>
      </c>
      <c r="D22" s="248">
        <f>ASSUMPTIONS!D106</f>
        <v>1</v>
      </c>
      <c r="E22" s="248">
        <f>ASSUMPTIONS!E106</f>
        <v>1</v>
      </c>
      <c r="F22" s="248">
        <f>ASSUMPTIONS!F106</f>
        <v>1</v>
      </c>
      <c r="G22" s="248">
        <f>ASSUMPTIONS!G106</f>
        <v>1</v>
      </c>
      <c r="H22" s="248">
        <f>ASSUMPTIONS!H106</f>
        <v>1</v>
      </c>
      <c r="I22" s="248">
        <f>ASSUMPTIONS!I106</f>
        <v>1</v>
      </c>
      <c r="J22" s="248">
        <f>ASSUMPTIONS!J106</f>
        <v>1</v>
      </c>
      <c r="K22" s="248">
        <f>ASSUMPTIONS!K106</f>
        <v>0</v>
      </c>
      <c r="L22" s="248">
        <f>ASSUMPTIONS!L106</f>
        <v>0.4</v>
      </c>
      <c r="M22" s="248">
        <f>ASSUMPTIONS!M106</f>
        <v>0.6</v>
      </c>
    </row>
    <row r="23" spans="1:13" x14ac:dyDescent="0.3">
      <c r="A23" s="180" t="s">
        <v>681</v>
      </c>
      <c r="B23" s="193" t="s">
        <v>682</v>
      </c>
      <c r="C23" s="248">
        <f>ASSUMPTIONS!C107</f>
        <v>1</v>
      </c>
      <c r="D23" s="248">
        <f>ASSUMPTIONS!D107</f>
        <v>1</v>
      </c>
      <c r="E23" s="248">
        <f>ASSUMPTIONS!E107</f>
        <v>1</v>
      </c>
      <c r="F23" s="248">
        <f>ASSUMPTIONS!F107</f>
        <v>1</v>
      </c>
      <c r="G23" s="248">
        <f>ASSUMPTIONS!G107</f>
        <v>1</v>
      </c>
      <c r="H23" s="248">
        <f>ASSUMPTIONS!H107</f>
        <v>1</v>
      </c>
      <c r="I23" s="248">
        <f>ASSUMPTIONS!I107</f>
        <v>1</v>
      </c>
      <c r="J23" s="248">
        <f>ASSUMPTIONS!J107</f>
        <v>1</v>
      </c>
      <c r="K23" s="248">
        <f>ASSUMPTIONS!K107</f>
        <v>2.8</v>
      </c>
      <c r="L23" s="248">
        <f>ASSUMPTIONS!L107</f>
        <v>2.2000000000000002</v>
      </c>
      <c r="M23" s="248">
        <f>ASSUMPTIONS!M107</f>
        <v>1.8</v>
      </c>
    </row>
    <row r="24" spans="1:13" x14ac:dyDescent="0.3">
      <c r="A24" s="233" t="s">
        <v>683</v>
      </c>
      <c r="B24" s="231" t="s">
        <v>684</v>
      </c>
      <c r="C24" s="249">
        <f>ASSUMPTIONS!C109</f>
        <v>150</v>
      </c>
      <c r="D24" s="249">
        <f>ASSUMPTIONS!D109</f>
        <v>150</v>
      </c>
      <c r="E24" s="249">
        <f>ASSUMPTIONS!E109</f>
        <v>153</v>
      </c>
      <c r="F24" s="249">
        <f>ASSUMPTIONS!F109</f>
        <v>156</v>
      </c>
      <c r="G24" s="249">
        <f>ASSUMPTIONS!G109</f>
        <v>159</v>
      </c>
      <c r="H24" s="249">
        <f>ASSUMPTIONS!H109</f>
        <v>162</v>
      </c>
      <c r="I24" s="249">
        <f>ASSUMPTIONS!I109</f>
        <v>165</v>
      </c>
      <c r="J24" s="249">
        <f>ASSUMPTIONS!J109</f>
        <v>168</v>
      </c>
      <c r="K24" s="249">
        <f>ASSUMPTIONS!K109</f>
        <v>0</v>
      </c>
      <c r="L24" s="249">
        <f>ASSUMPTIONS!L109</f>
        <v>132</v>
      </c>
      <c r="M24" s="249">
        <f>ASSUMPTIONS!M109</f>
        <v>162</v>
      </c>
    </row>
    <row r="25" spans="1:13" x14ac:dyDescent="0.3">
      <c r="A25" s="200" t="s">
        <v>685</v>
      </c>
      <c r="B25" s="202" t="s">
        <v>686</v>
      </c>
      <c r="C25" s="245">
        <f>ASSUMPTIONS!C108-ASSUMPTIONS!C109</f>
        <v>650</v>
      </c>
      <c r="D25" s="245">
        <f>ASSUMPTIONS!D108-ASSUMPTIONS!D109</f>
        <v>650</v>
      </c>
      <c r="E25" s="245">
        <f>ASSUMPTIONS!E108-ASSUMPTIONS!E109</f>
        <v>657</v>
      </c>
      <c r="F25" s="245">
        <f>ASSUMPTIONS!F108-ASSUMPTIONS!F109</f>
        <v>664</v>
      </c>
      <c r="G25" s="245">
        <f>ASSUMPTIONS!G108-ASSUMPTIONS!G109</f>
        <v>671</v>
      </c>
      <c r="H25" s="245">
        <f>ASSUMPTIONS!H108-ASSUMPTIONS!H109</f>
        <v>678</v>
      </c>
      <c r="I25" s="245">
        <f>ASSUMPTIONS!I108-ASSUMPTIONS!I109</f>
        <v>685</v>
      </c>
      <c r="J25" s="245">
        <f>ASSUMPTIONS!J108-ASSUMPTIONS!J109</f>
        <v>692</v>
      </c>
      <c r="K25" s="245">
        <f>ASSUMPTIONS!K108-ASSUMPTIONS!K109</f>
        <v>860</v>
      </c>
      <c r="L25" s="245">
        <f>ASSUMPTIONS!L108-ASSUMPTIONS!L109</f>
        <v>708</v>
      </c>
      <c r="M25" s="245">
        <f>ASSUMPTIONS!M108-ASSUMPTIONS!M109</f>
        <v>668</v>
      </c>
    </row>
    <row r="26" spans="1:13" x14ac:dyDescent="0.3">
      <c r="A26" s="204" t="s">
        <v>687</v>
      </c>
      <c r="B26" s="202" t="s">
        <v>688</v>
      </c>
      <c r="C26" s="203">
        <f t="shared" ref="C26:M26" si="6">(C25-12)*0.4</f>
        <v>255.20000000000002</v>
      </c>
      <c r="D26" s="203">
        <f t="shared" si="6"/>
        <v>255.20000000000002</v>
      </c>
      <c r="E26" s="203">
        <f t="shared" si="6"/>
        <v>258</v>
      </c>
      <c r="F26" s="203">
        <f t="shared" si="6"/>
        <v>260.8</v>
      </c>
      <c r="G26" s="203">
        <f t="shared" si="6"/>
        <v>263.60000000000002</v>
      </c>
      <c r="H26" s="203">
        <f t="shared" si="6"/>
        <v>266.40000000000003</v>
      </c>
      <c r="I26" s="203">
        <f t="shared" si="6"/>
        <v>269.2</v>
      </c>
      <c r="J26" s="203">
        <f t="shared" si="6"/>
        <v>272</v>
      </c>
      <c r="K26" s="203">
        <f t="shared" si="6"/>
        <v>339.20000000000005</v>
      </c>
      <c r="L26" s="203">
        <f t="shared" si="6"/>
        <v>278.40000000000003</v>
      </c>
      <c r="M26" s="203">
        <f t="shared" si="6"/>
        <v>262.40000000000003</v>
      </c>
    </row>
    <row r="27" spans="1:13" x14ac:dyDescent="0.3">
      <c r="A27" s="176" t="s">
        <v>689</v>
      </c>
      <c r="B27" s="199" t="s">
        <v>690</v>
      </c>
      <c r="C27" s="220">
        <f>IF(JapanCo!C4=0,0,(0.042*JapanCo!C4)/JapanCo!C4)</f>
        <v>4.2000000000000003E-2</v>
      </c>
      <c r="D27" s="220">
        <f>IF(JapanCo!D4=0,0,(0.042*JapanCo!D4)/JapanCo!D4)</f>
        <v>4.2000000000000003E-2</v>
      </c>
      <c r="E27" s="220">
        <f>IF(JapanCo!E4=0,0,(0.042*JapanCo!E4)/JapanCo!E4)</f>
        <v>4.2000000000000003E-2</v>
      </c>
      <c r="F27" s="220">
        <f>IF(JapanCo!F4=0,0,(0.042*JapanCo!F4)/JapanCo!F4)</f>
        <v>4.2000000000000003E-2</v>
      </c>
      <c r="G27" s="220">
        <f>IF(JapanCo!G4=0,0,(0.042*JapanCo!G4)/JapanCo!G4)</f>
        <v>4.2000000000000003E-2</v>
      </c>
      <c r="H27" s="220">
        <f>IF(JapanCo!H4=0,0,(0.042*JapanCo!H4)/JapanCo!H4)</f>
        <v>4.2000000000000003E-2</v>
      </c>
      <c r="I27" s="220">
        <f>IF(JapanCo!I4=0,0,(0.042*JapanCo!I4)/JapanCo!I4)</f>
        <v>4.2000000000000003E-2</v>
      </c>
      <c r="J27" s="220">
        <f>IF(JapanCo!J4=0,0,(0.042*JapanCo!J4)/JapanCo!J4)</f>
        <v>4.2000000000000003E-2</v>
      </c>
      <c r="K27" s="220">
        <f>IF(JapanCo!K4=0,0,(0.042*JapanCo!K4)/JapanCo!K4)</f>
        <v>4.2000000000000003E-2</v>
      </c>
      <c r="L27" s="220">
        <f>IF(JapanCo!L4=0,0,(0.042*JapanCo!L4)/JapanCo!L4)</f>
        <v>4.2000000000000003E-2</v>
      </c>
      <c r="M27" s="220">
        <f>IF(JapanCo!M4=0,0,(0.042*JapanCo!M4)/JapanCo!M4)</f>
        <v>4.2000000000000003E-2</v>
      </c>
    </row>
    <row r="29" spans="1:13" x14ac:dyDescent="0.3">
      <c r="A29" s="168" t="s">
        <v>691</v>
      </c>
      <c r="B29" s="208" t="s">
        <v>692</v>
      </c>
      <c r="C29" s="217">
        <f>IF(ASSUMPTIONS!C117=0,0,JapanCo!C4*ASSUMPTIONS!C117)</f>
        <v>0</v>
      </c>
      <c r="D29" s="217">
        <f>IF(ASSUMPTIONS!D117=0,0,JapanCo!D4*ASSUMPTIONS!D117)</f>
        <v>0</v>
      </c>
      <c r="E29" s="217">
        <f>IF(ASSUMPTIONS!E117=0,0,JapanCo!E4*ASSUMPTIONS!E117)</f>
        <v>0</v>
      </c>
      <c r="F29" s="217">
        <f>IF(ASSUMPTIONS!F117=0,0,JapanCo!F4*ASSUMPTIONS!F117)</f>
        <v>0</v>
      </c>
      <c r="G29" s="217">
        <f>IF(ASSUMPTIONS!G117=0,0,JapanCo!G4*ASSUMPTIONS!G117)</f>
        <v>0</v>
      </c>
      <c r="H29" s="217">
        <f>IF(ASSUMPTIONS!H117=0,0,JapanCo!H4*ASSUMPTIONS!H117)</f>
        <v>0</v>
      </c>
      <c r="I29" s="217">
        <f>IF(ASSUMPTIONS!I117=0,0,JapanCo!I4*ASSUMPTIONS!I117)</f>
        <v>0</v>
      </c>
      <c r="J29" s="217">
        <f>IF(ASSUMPTIONS!J117=0,0,JapanCo!J4*ASSUMPTIONS!J117)</f>
        <v>0</v>
      </c>
      <c r="K29" s="217">
        <f>IF(ASSUMPTIONS!K117=0,0,JapanCo!K4*ASSUMPTIONS!K117)</f>
        <v>132.934</v>
      </c>
      <c r="L29" s="217">
        <f>IF(ASSUMPTIONS!L117=0,0,JapanCo!L4*ASSUMPTIONS!L117)</f>
        <v>133.26999999999998</v>
      </c>
      <c r="M29" s="217">
        <f>IF(ASSUMPTIONS!M117=0,0,JapanCo!M4*ASSUMPTIONS!M117)</f>
        <v>133.55799999999999</v>
      </c>
    </row>
    <row r="32" spans="1:13" x14ac:dyDescent="0.3">
      <c r="A32" s="250" t="s">
        <v>693</v>
      </c>
    </row>
    <row r="33" spans="1:13" x14ac:dyDescent="0.3">
      <c r="A33" t="s">
        <v>106</v>
      </c>
      <c r="C33" t="s">
        <v>108</v>
      </c>
      <c r="D33" t="s">
        <v>109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  <c r="J33" t="s">
        <v>115</v>
      </c>
      <c r="K33" t="s">
        <v>116</v>
      </c>
      <c r="L33" t="s">
        <v>117</v>
      </c>
      <c r="M33" t="s">
        <v>433</v>
      </c>
    </row>
    <row r="35" spans="1:13" x14ac:dyDescent="0.3">
      <c r="A35" s="250" t="s">
        <v>694</v>
      </c>
    </row>
    <row r="36" spans="1:13" x14ac:dyDescent="0.3">
      <c r="A36" t="s">
        <v>404</v>
      </c>
    </row>
    <row r="37" spans="1:13" x14ac:dyDescent="0.3">
      <c r="A37" t="s">
        <v>695</v>
      </c>
      <c r="C37">
        <v>1200</v>
      </c>
      <c r="D37">
        <v>1237</v>
      </c>
      <c r="E37">
        <v>1274</v>
      </c>
      <c r="F37">
        <v>1312</v>
      </c>
      <c r="G37">
        <v>1351</v>
      </c>
      <c r="H37">
        <v>1390</v>
      </c>
      <c r="I37">
        <v>1430</v>
      </c>
      <c r="J37">
        <v>1471</v>
      </c>
      <c r="K37">
        <v>1513</v>
      </c>
      <c r="L37">
        <v>1554</v>
      </c>
      <c r="M37">
        <v>1594</v>
      </c>
    </row>
    <row r="38" spans="1:13" x14ac:dyDescent="0.3">
      <c r="A38" t="s">
        <v>696</v>
      </c>
      <c r="C38">
        <v>720</v>
      </c>
      <c r="D38">
        <v>742</v>
      </c>
      <c r="E38">
        <v>764</v>
      </c>
      <c r="F38">
        <v>787</v>
      </c>
      <c r="G38">
        <v>811</v>
      </c>
      <c r="H38">
        <v>834</v>
      </c>
      <c r="I38">
        <v>858</v>
      </c>
      <c r="J38">
        <v>883</v>
      </c>
      <c r="K38">
        <v>908</v>
      </c>
      <c r="L38">
        <v>932</v>
      </c>
      <c r="M38">
        <v>956</v>
      </c>
    </row>
    <row r="39" spans="1:13" x14ac:dyDescent="0.3">
      <c r="A39" t="s">
        <v>697</v>
      </c>
      <c r="C39">
        <v>360</v>
      </c>
      <c r="D39">
        <v>371</v>
      </c>
      <c r="E39">
        <v>382</v>
      </c>
      <c r="F39">
        <v>394</v>
      </c>
      <c r="G39">
        <v>405</v>
      </c>
      <c r="H39">
        <v>417</v>
      </c>
      <c r="I39">
        <v>429</v>
      </c>
      <c r="J39">
        <v>441</v>
      </c>
      <c r="K39">
        <v>454</v>
      </c>
      <c r="L39">
        <v>466</v>
      </c>
      <c r="M39">
        <v>478</v>
      </c>
    </row>
    <row r="40" spans="1:13" x14ac:dyDescent="0.3">
      <c r="A40" t="s">
        <v>698</v>
      </c>
      <c r="C40">
        <v>120</v>
      </c>
      <c r="D40">
        <v>124</v>
      </c>
      <c r="E40">
        <v>127</v>
      </c>
      <c r="F40">
        <v>131</v>
      </c>
      <c r="G40">
        <v>135</v>
      </c>
      <c r="H40">
        <v>139</v>
      </c>
      <c r="I40">
        <v>143</v>
      </c>
      <c r="J40">
        <v>147</v>
      </c>
      <c r="K40">
        <v>151</v>
      </c>
      <c r="L40">
        <v>155</v>
      </c>
      <c r="M40">
        <v>159</v>
      </c>
    </row>
    <row r="41" spans="1:13" x14ac:dyDescent="0.3">
      <c r="A41" t="s">
        <v>510</v>
      </c>
    </row>
    <row r="42" spans="1:13" x14ac:dyDescent="0.3">
      <c r="A42" t="s">
        <v>699</v>
      </c>
      <c r="C42">
        <v>720</v>
      </c>
      <c r="D42">
        <v>732</v>
      </c>
      <c r="E42">
        <v>744</v>
      </c>
      <c r="F42">
        <v>758</v>
      </c>
      <c r="G42">
        <v>772</v>
      </c>
      <c r="H42">
        <v>788</v>
      </c>
      <c r="I42">
        <v>804</v>
      </c>
      <c r="J42">
        <v>822</v>
      </c>
      <c r="K42">
        <v>838</v>
      </c>
      <c r="L42">
        <v>816</v>
      </c>
      <c r="M42">
        <v>800</v>
      </c>
    </row>
    <row r="43" spans="1:13" x14ac:dyDescent="0.3">
      <c r="A43" t="s">
        <v>700</v>
      </c>
      <c r="C43">
        <v>684</v>
      </c>
      <c r="D43">
        <v>695</v>
      </c>
      <c r="E43">
        <v>707</v>
      </c>
      <c r="F43">
        <v>720</v>
      </c>
      <c r="G43">
        <v>733</v>
      </c>
      <c r="H43">
        <v>749</v>
      </c>
      <c r="I43">
        <v>764</v>
      </c>
      <c r="J43">
        <v>781</v>
      </c>
      <c r="K43">
        <v>796</v>
      </c>
      <c r="L43">
        <v>775</v>
      </c>
      <c r="M43">
        <v>760</v>
      </c>
    </row>
    <row r="44" spans="1:13" x14ac:dyDescent="0.3">
      <c r="A44" t="s">
        <v>701</v>
      </c>
      <c r="C44">
        <v>36</v>
      </c>
      <c r="D44">
        <v>37</v>
      </c>
      <c r="E44">
        <v>37</v>
      </c>
      <c r="F44">
        <v>38</v>
      </c>
      <c r="G44">
        <v>39</v>
      </c>
      <c r="H44">
        <v>39</v>
      </c>
      <c r="I44">
        <v>40</v>
      </c>
      <c r="J44">
        <v>41</v>
      </c>
      <c r="K44">
        <v>42</v>
      </c>
      <c r="L44">
        <v>41</v>
      </c>
      <c r="M44">
        <v>40</v>
      </c>
    </row>
    <row r="45" spans="1:13" x14ac:dyDescent="0.3">
      <c r="A45" t="s">
        <v>424</v>
      </c>
    </row>
    <row r="46" spans="1:13" x14ac:dyDescent="0.3">
      <c r="A46" s="251" t="s">
        <v>702</v>
      </c>
      <c r="C46">
        <v>38</v>
      </c>
      <c r="D46">
        <v>38</v>
      </c>
      <c r="E46">
        <v>38</v>
      </c>
      <c r="F46">
        <v>38</v>
      </c>
      <c r="G46">
        <v>38</v>
      </c>
      <c r="H46">
        <v>38</v>
      </c>
      <c r="I46">
        <v>38</v>
      </c>
      <c r="J46">
        <v>38</v>
      </c>
      <c r="K46">
        <v>38</v>
      </c>
      <c r="L46">
        <v>38</v>
      </c>
      <c r="M46">
        <v>38</v>
      </c>
    </row>
    <row r="47" spans="1:13" x14ac:dyDescent="0.3">
      <c r="A47" s="251" t="s">
        <v>703</v>
      </c>
      <c r="C47">
        <v>5</v>
      </c>
      <c r="D47">
        <v>5.0999999999999996</v>
      </c>
      <c r="E47">
        <v>5</v>
      </c>
      <c r="F47">
        <v>5</v>
      </c>
      <c r="G47">
        <v>5.0999999999999996</v>
      </c>
      <c r="H47">
        <v>4.9000000000000004</v>
      </c>
      <c r="I47">
        <v>5</v>
      </c>
      <c r="J47">
        <v>5</v>
      </c>
      <c r="K47">
        <v>5</v>
      </c>
      <c r="L47">
        <v>5</v>
      </c>
      <c r="M47">
        <v>5</v>
      </c>
    </row>
    <row r="49" spans="1:13" x14ac:dyDescent="0.3">
      <c r="A49" s="250" t="s">
        <v>704</v>
      </c>
    </row>
    <row r="50" spans="1:13" x14ac:dyDescent="0.3">
      <c r="A50" t="s">
        <v>404</v>
      </c>
    </row>
    <row r="51" spans="1:13" x14ac:dyDescent="0.3">
      <c r="A51" t="s">
        <v>705</v>
      </c>
      <c r="C51">
        <v>600</v>
      </c>
      <c r="D51">
        <v>625</v>
      </c>
      <c r="E51">
        <v>650</v>
      </c>
      <c r="F51">
        <v>676</v>
      </c>
      <c r="G51">
        <v>703</v>
      </c>
      <c r="H51">
        <v>730</v>
      </c>
      <c r="I51">
        <v>758</v>
      </c>
      <c r="J51">
        <v>787</v>
      </c>
      <c r="K51">
        <v>817</v>
      </c>
      <c r="L51">
        <v>847</v>
      </c>
      <c r="M51">
        <v>878</v>
      </c>
    </row>
    <row r="52" spans="1:13" x14ac:dyDescent="0.3">
      <c r="A52" t="s">
        <v>663</v>
      </c>
      <c r="C52">
        <v>40</v>
      </c>
      <c r="D52">
        <v>40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>
        <v>40</v>
      </c>
      <c r="L52">
        <v>40</v>
      </c>
      <c r="M52">
        <v>40</v>
      </c>
    </row>
    <row r="53" spans="1:13" x14ac:dyDescent="0.3">
      <c r="A53" t="s">
        <v>706</v>
      </c>
      <c r="C53">
        <v>260</v>
      </c>
      <c r="D53">
        <v>272</v>
      </c>
      <c r="E53">
        <v>284</v>
      </c>
      <c r="F53">
        <v>296</v>
      </c>
      <c r="G53">
        <v>308</v>
      </c>
      <c r="H53">
        <v>320</v>
      </c>
      <c r="I53">
        <v>332</v>
      </c>
      <c r="J53">
        <v>344</v>
      </c>
      <c r="K53">
        <v>356</v>
      </c>
      <c r="L53">
        <v>367</v>
      </c>
      <c r="M53">
        <v>376</v>
      </c>
    </row>
    <row r="54" spans="1:13" x14ac:dyDescent="0.3">
      <c r="A54" t="s">
        <v>410</v>
      </c>
    </row>
    <row r="55" spans="1:13" x14ac:dyDescent="0.3">
      <c r="A55" t="s">
        <v>707</v>
      </c>
      <c r="C55">
        <v>900</v>
      </c>
      <c r="D55">
        <v>937</v>
      </c>
      <c r="E55">
        <v>974</v>
      </c>
      <c r="F55">
        <v>1012</v>
      </c>
      <c r="G55">
        <v>1051</v>
      </c>
      <c r="H55">
        <v>1090</v>
      </c>
      <c r="I55">
        <v>1130</v>
      </c>
      <c r="J55">
        <v>1171</v>
      </c>
      <c r="K55">
        <v>1213</v>
      </c>
      <c r="L55">
        <v>1254</v>
      </c>
      <c r="M55">
        <v>1294</v>
      </c>
    </row>
    <row r="56" spans="1:13" x14ac:dyDescent="0.3">
      <c r="A56" t="s">
        <v>708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8" spans="1:13" x14ac:dyDescent="0.3">
      <c r="A58" s="250" t="s">
        <v>709</v>
      </c>
    </row>
    <row r="59" spans="1:13" x14ac:dyDescent="0.3">
      <c r="A59" t="s">
        <v>710</v>
      </c>
      <c r="C59">
        <v>3600</v>
      </c>
      <c r="D59">
        <v>3672</v>
      </c>
      <c r="E59">
        <v>3745</v>
      </c>
      <c r="F59">
        <v>3820</v>
      </c>
      <c r="G59">
        <v>3896</v>
      </c>
      <c r="H59">
        <v>3974</v>
      </c>
      <c r="I59">
        <v>4054</v>
      </c>
      <c r="J59">
        <v>4135</v>
      </c>
      <c r="K59">
        <v>4218</v>
      </c>
      <c r="L59">
        <v>4302</v>
      </c>
      <c r="M59">
        <v>4388</v>
      </c>
    </row>
    <row r="60" spans="1:13" x14ac:dyDescent="0.3">
      <c r="A60" t="s">
        <v>711</v>
      </c>
      <c r="C60">
        <v>540</v>
      </c>
      <c r="D60">
        <v>549</v>
      </c>
      <c r="E60">
        <v>558</v>
      </c>
      <c r="F60">
        <v>568</v>
      </c>
      <c r="G60">
        <v>579</v>
      </c>
      <c r="H60">
        <v>591</v>
      </c>
      <c r="I60">
        <v>604</v>
      </c>
      <c r="J60">
        <v>617</v>
      </c>
      <c r="K60">
        <v>629</v>
      </c>
      <c r="L60">
        <v>612</v>
      </c>
      <c r="M60">
        <v>599</v>
      </c>
    </row>
    <row r="61" spans="1:13" x14ac:dyDescent="0.3">
      <c r="A61" t="s">
        <v>712</v>
      </c>
      <c r="C61">
        <v>468</v>
      </c>
      <c r="D61">
        <v>476</v>
      </c>
      <c r="E61">
        <v>484</v>
      </c>
      <c r="F61">
        <v>493</v>
      </c>
      <c r="G61">
        <v>502</v>
      </c>
      <c r="H61">
        <v>512</v>
      </c>
      <c r="I61">
        <v>522</v>
      </c>
      <c r="J61">
        <v>533</v>
      </c>
      <c r="K61">
        <v>545</v>
      </c>
      <c r="L61">
        <v>530</v>
      </c>
      <c r="M61">
        <v>520</v>
      </c>
    </row>
    <row r="62" spans="1:13" x14ac:dyDescent="0.3">
      <c r="A62" t="s">
        <v>713</v>
      </c>
      <c r="C62">
        <v>72</v>
      </c>
      <c r="D62">
        <v>73</v>
      </c>
      <c r="E62">
        <v>74</v>
      </c>
      <c r="F62">
        <v>75</v>
      </c>
      <c r="G62">
        <v>77</v>
      </c>
      <c r="H62">
        <v>79</v>
      </c>
      <c r="I62">
        <v>82</v>
      </c>
      <c r="J62">
        <v>84</v>
      </c>
      <c r="K62">
        <v>84</v>
      </c>
      <c r="L62">
        <v>82</v>
      </c>
      <c r="M62">
        <v>79</v>
      </c>
    </row>
    <row r="63" spans="1:13" x14ac:dyDescent="0.3">
      <c r="A63" s="251" t="s">
        <v>714</v>
      </c>
      <c r="C63">
        <v>200</v>
      </c>
      <c r="D63">
        <v>201</v>
      </c>
      <c r="E63">
        <v>201</v>
      </c>
      <c r="F63">
        <v>202</v>
      </c>
      <c r="G63">
        <v>202</v>
      </c>
      <c r="H63">
        <v>202</v>
      </c>
      <c r="I63">
        <v>202</v>
      </c>
      <c r="J63">
        <v>201</v>
      </c>
      <c r="K63">
        <v>201</v>
      </c>
      <c r="L63">
        <v>211</v>
      </c>
      <c r="M63">
        <v>219</v>
      </c>
    </row>
    <row r="64" spans="1:13" x14ac:dyDescent="0.3">
      <c r="A64" t="s">
        <v>715</v>
      </c>
    </row>
    <row r="66" spans="1:13" x14ac:dyDescent="0.3">
      <c r="A66" s="250" t="s">
        <v>716</v>
      </c>
    </row>
    <row r="67" spans="1:13" x14ac:dyDescent="0.3">
      <c r="A67" t="s">
        <v>717</v>
      </c>
      <c r="C67">
        <v>200</v>
      </c>
      <c r="D67">
        <v>208</v>
      </c>
      <c r="E67">
        <v>216</v>
      </c>
      <c r="F67">
        <v>224</v>
      </c>
      <c r="G67">
        <v>232</v>
      </c>
      <c r="H67">
        <v>240</v>
      </c>
      <c r="I67">
        <v>248</v>
      </c>
      <c r="J67">
        <v>256</v>
      </c>
      <c r="K67">
        <v>264</v>
      </c>
      <c r="L67">
        <v>272</v>
      </c>
      <c r="M67">
        <v>280</v>
      </c>
    </row>
    <row r="68" spans="1:13" x14ac:dyDescent="0.3">
      <c r="A68" t="s">
        <v>718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</row>
    <row r="69" spans="1:13" x14ac:dyDescent="0.3">
      <c r="A69" t="s">
        <v>719</v>
      </c>
      <c r="C69">
        <v>2.5</v>
      </c>
      <c r="D69">
        <v>2.5</v>
      </c>
      <c r="E69">
        <v>2.5</v>
      </c>
      <c r="F69">
        <v>2.5</v>
      </c>
      <c r="G69">
        <v>2.5</v>
      </c>
      <c r="H69">
        <v>2.5</v>
      </c>
      <c r="I69">
        <v>2.5</v>
      </c>
      <c r="J69">
        <v>2.5</v>
      </c>
      <c r="K69">
        <v>2.5</v>
      </c>
      <c r="L69">
        <v>2.5</v>
      </c>
      <c r="M69">
        <v>2.5</v>
      </c>
    </row>
    <row r="70" spans="1:13" x14ac:dyDescent="0.3">
      <c r="A70" t="s">
        <v>720</v>
      </c>
      <c r="C70">
        <v>-6.5</v>
      </c>
      <c r="D70">
        <v>-6.6</v>
      </c>
      <c r="E70">
        <v>-6.6</v>
      </c>
      <c r="F70">
        <v>-6.7</v>
      </c>
      <c r="G70">
        <v>-6.8</v>
      </c>
      <c r="H70">
        <v>-6.8</v>
      </c>
      <c r="I70">
        <v>-6.9</v>
      </c>
      <c r="J70">
        <v>-7</v>
      </c>
      <c r="K70">
        <v>-7</v>
      </c>
      <c r="L70">
        <v>-7.1</v>
      </c>
      <c r="M70">
        <v>-7.2</v>
      </c>
    </row>
    <row r="71" spans="1:13" x14ac:dyDescent="0.3">
      <c r="A71" t="s">
        <v>721</v>
      </c>
    </row>
    <row r="73" spans="1:13" x14ac:dyDescent="0.3">
      <c r="A73" s="250" t="s">
        <v>722</v>
      </c>
    </row>
    <row r="74" spans="1:13" x14ac:dyDescent="0.3">
      <c r="A74" s="251" t="s">
        <v>723</v>
      </c>
      <c r="C74">
        <v>38</v>
      </c>
      <c r="D74">
        <v>38</v>
      </c>
      <c r="E74">
        <v>38</v>
      </c>
      <c r="F74">
        <v>38</v>
      </c>
      <c r="G74">
        <v>38</v>
      </c>
      <c r="H74">
        <v>38</v>
      </c>
      <c r="I74">
        <v>38</v>
      </c>
      <c r="J74">
        <v>38</v>
      </c>
      <c r="K74">
        <v>38</v>
      </c>
      <c r="L74">
        <v>38</v>
      </c>
      <c r="M74">
        <v>38</v>
      </c>
    </row>
    <row r="75" spans="1:13" x14ac:dyDescent="0.3">
      <c r="A75" s="251" t="s">
        <v>724</v>
      </c>
      <c r="C75">
        <v>32</v>
      </c>
      <c r="D75">
        <v>32</v>
      </c>
      <c r="E75">
        <v>32</v>
      </c>
      <c r="F75">
        <v>32</v>
      </c>
      <c r="G75">
        <v>32</v>
      </c>
      <c r="H75">
        <v>32</v>
      </c>
      <c r="I75">
        <v>31.9</v>
      </c>
      <c r="J75">
        <v>32</v>
      </c>
      <c r="K75">
        <v>32</v>
      </c>
      <c r="L75">
        <v>32</v>
      </c>
      <c r="M75">
        <v>32</v>
      </c>
    </row>
    <row r="76" spans="1:13" x14ac:dyDescent="0.3">
      <c r="A76" s="251" t="s">
        <v>725</v>
      </c>
      <c r="C76">
        <v>200</v>
      </c>
      <c r="D76">
        <v>201</v>
      </c>
      <c r="E76">
        <v>201</v>
      </c>
      <c r="F76">
        <v>202</v>
      </c>
      <c r="G76">
        <v>202</v>
      </c>
      <c r="H76">
        <v>202</v>
      </c>
      <c r="I76">
        <v>202</v>
      </c>
      <c r="J76">
        <v>201</v>
      </c>
      <c r="K76">
        <v>201</v>
      </c>
      <c r="L76">
        <v>211</v>
      </c>
      <c r="M76">
        <v>219</v>
      </c>
    </row>
    <row r="77" spans="1:13" x14ac:dyDescent="0.3">
      <c r="A77" s="251" t="s">
        <v>726</v>
      </c>
      <c r="C77">
        <v>-6.5</v>
      </c>
      <c r="D77">
        <v>-6.6</v>
      </c>
      <c r="E77">
        <v>-6.6</v>
      </c>
      <c r="F77">
        <v>-6.7</v>
      </c>
      <c r="G77">
        <v>-6.8</v>
      </c>
      <c r="H77">
        <v>-6.8</v>
      </c>
      <c r="I77">
        <v>-6.9</v>
      </c>
      <c r="J77">
        <v>-7</v>
      </c>
      <c r="K77">
        <v>-7</v>
      </c>
      <c r="L77">
        <v>-7.1</v>
      </c>
      <c r="M77">
        <v>-7.2</v>
      </c>
    </row>
    <row r="78" spans="1:13" x14ac:dyDescent="0.3">
      <c r="A78" s="251" t="s">
        <v>727</v>
      </c>
      <c r="C78">
        <v>6</v>
      </c>
      <c r="D78">
        <v>13</v>
      </c>
      <c r="E78">
        <v>20</v>
      </c>
      <c r="F78">
        <v>26</v>
      </c>
      <c r="G78">
        <v>33</v>
      </c>
      <c r="H78">
        <v>40</v>
      </c>
      <c r="I78">
        <v>47</v>
      </c>
      <c r="J78">
        <v>54</v>
      </c>
      <c r="K78">
        <v>61</v>
      </c>
      <c r="L78">
        <v>68</v>
      </c>
      <c r="M78">
        <v>75</v>
      </c>
    </row>
  </sheetData>
  <mergeCells count="5">
    <mergeCell ref="A1:M1"/>
    <mergeCell ref="A3:M3"/>
    <mergeCell ref="A15:M15"/>
    <mergeCell ref="A20:M20"/>
    <mergeCell ref="A10:M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D7D31"/>
  </sheetPr>
  <dimension ref="A1:M31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52" customWidth="1"/>
    <col min="3" max="13" width="9" customWidth="1"/>
  </cols>
  <sheetData>
    <row r="1" spans="1:13" ht="21.75" customHeight="1" x14ac:dyDescent="0.3">
      <c r="A1" s="273" t="s">
        <v>728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ht="27.75" customHeight="1" x14ac:dyDescent="0.3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117</v>
      </c>
      <c r="M2" s="7" t="s">
        <v>118</v>
      </c>
    </row>
    <row r="3" spans="1:13" ht="15" customHeight="1" x14ac:dyDescent="0.3">
      <c r="A3" s="258" t="s">
        <v>404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</row>
    <row r="4" spans="1:13" ht="21.75" customHeight="1" x14ac:dyDescent="0.3">
      <c r="A4" s="24" t="s">
        <v>663</v>
      </c>
      <c r="B4" s="25" t="s">
        <v>729</v>
      </c>
      <c r="C4" s="26">
        <f>ASSUMPTIONS!C22</f>
        <v>45</v>
      </c>
      <c r="D4" s="28">
        <f>C4*(1+ASSUMPTIONS!D23)</f>
        <v>46.800000000000004</v>
      </c>
      <c r="E4" s="28">
        <f>D4*(1+ASSUMPTIONS!E23)</f>
        <v>48.672000000000004</v>
      </c>
      <c r="F4" s="28">
        <f>E4*(1+ASSUMPTIONS!F23)</f>
        <v>50.132160000000006</v>
      </c>
      <c r="G4" s="28">
        <f>F4*(1+ASSUMPTIONS!G23)</f>
        <v>47.124230400000002</v>
      </c>
      <c r="H4" s="28">
        <f>G4*(1+ASSUMPTIONS!H23)</f>
        <v>50.894168832000005</v>
      </c>
      <c r="I4" s="28">
        <f>H4*(1+ASSUMPTIONS!I23)</f>
        <v>53.947818961920007</v>
      </c>
      <c r="J4" s="28">
        <f>I4*(1+ASSUMPTIONS!J23)</f>
        <v>56.645209910016007</v>
      </c>
      <c r="K4" s="28">
        <f>J4*(1+ASSUMPTIONS!K23)</f>
        <v>59.477470405516812</v>
      </c>
      <c r="L4" s="28">
        <f>K4*(1+ASSUMPTIONS!L23)</f>
        <v>60.667019813627149</v>
      </c>
      <c r="M4" s="28">
        <f>L4*(1+ASSUMPTIONS!M23)</f>
        <v>33.366860897494938</v>
      </c>
    </row>
    <row r="5" spans="1:13" ht="21.75" customHeight="1" x14ac:dyDescent="0.3">
      <c r="A5" s="24" t="s">
        <v>730</v>
      </c>
      <c r="B5" s="25" t="s">
        <v>731</v>
      </c>
      <c r="C5" s="26">
        <f>ASSUMPTIONS!C24</f>
        <v>20</v>
      </c>
      <c r="D5" s="28">
        <f>C5*(1+ASSUMPTIONS!D25)</f>
        <v>20.6</v>
      </c>
      <c r="E5" s="28">
        <f>D5*(1+ASSUMPTIONS!E25)</f>
        <v>21.218000000000004</v>
      </c>
      <c r="F5" s="28">
        <f>E5*(1+ASSUMPTIONS!F25)</f>
        <v>21.642360000000004</v>
      </c>
      <c r="G5" s="28">
        <f>F5*(1+ASSUMPTIONS!G25)</f>
        <v>20.776665600000001</v>
      </c>
      <c r="H5" s="28">
        <f>G5*(1+ASSUMPTIONS!H25)</f>
        <v>22.023265536000004</v>
      </c>
      <c r="I5" s="28">
        <f>H5*(1+ASSUMPTIONS!I25)</f>
        <v>23.124428812800005</v>
      </c>
      <c r="J5" s="28">
        <f>I5*(1+ASSUMPTIONS!J25)</f>
        <v>24.049405965312005</v>
      </c>
      <c r="K5" s="28">
        <f>J5*(1+ASSUMPTIONS!K25)</f>
        <v>25.011382203924487</v>
      </c>
      <c r="L5" s="28">
        <f>K5*(1+ASSUMPTIONS!L25)</f>
        <v>25.511609848002976</v>
      </c>
      <c r="M5" s="28">
        <f>L5*(1+ASSUMPTIONS!M25)</f>
        <v>13.521153219441578</v>
      </c>
    </row>
    <row r="6" spans="1:13" ht="21.75" customHeight="1" x14ac:dyDescent="0.3">
      <c r="A6" s="24" t="s">
        <v>732</v>
      </c>
      <c r="B6" s="25" t="s">
        <v>733</v>
      </c>
      <c r="C6" s="26">
        <f>ASSUMPTIONS!C20</f>
        <v>60</v>
      </c>
      <c r="D6" s="28">
        <f>C6*(1+ASSUMPTIONS!D21)</f>
        <v>54</v>
      </c>
      <c r="E6" s="28">
        <f>D6*(1+ASSUMPTIONS!E21)</f>
        <v>56.7</v>
      </c>
      <c r="F6" s="28">
        <f>E6*(1+ASSUMPTIONS!F21)</f>
        <v>62.370000000000012</v>
      </c>
      <c r="G6" s="28">
        <f>F6*(1+ASSUMPTIONS!G21)</f>
        <v>34.303500000000007</v>
      </c>
      <c r="H6" s="28">
        <f>G6*(1+ASSUMPTIONS!H21)</f>
        <v>44.594550000000012</v>
      </c>
      <c r="I6" s="28">
        <f>H6*(1+ASSUMPTIONS!I21)</f>
        <v>53.513460000000016</v>
      </c>
      <c r="J6" s="28">
        <f>I6*(1+ASSUMPTIONS!J21)</f>
        <v>56.18913300000002</v>
      </c>
      <c r="K6" s="28">
        <f>J6*(1+ASSUMPTIONS!K21)</f>
        <v>61.808046300000029</v>
      </c>
      <c r="L6" s="28">
        <f>K6*(1+ASSUMPTIONS!L21)</f>
        <v>58.717643985000024</v>
      </c>
      <c r="M6" s="28">
        <f>L6*(1+ASSUMPTIONS!M21)</f>
        <v>17.615293195500008</v>
      </c>
    </row>
    <row r="7" spans="1:13" ht="15" customHeight="1" x14ac:dyDescent="0.3">
      <c r="A7" s="24" t="s">
        <v>734</v>
      </c>
      <c r="B7" s="29"/>
      <c r="C7" s="27">
        <v>100</v>
      </c>
      <c r="D7" s="28">
        <f t="shared" ref="D7:M7" si="0">C7*1.04</f>
        <v>104</v>
      </c>
      <c r="E7" s="28">
        <f t="shared" si="0"/>
        <v>108.16</v>
      </c>
      <c r="F7" s="28">
        <f t="shared" si="0"/>
        <v>112.4864</v>
      </c>
      <c r="G7" s="28">
        <f t="shared" si="0"/>
        <v>116.98585600000001</v>
      </c>
      <c r="H7" s="28">
        <f t="shared" si="0"/>
        <v>121.66529024000002</v>
      </c>
      <c r="I7" s="28">
        <f t="shared" si="0"/>
        <v>126.53190184960002</v>
      </c>
      <c r="J7" s="28">
        <f t="shared" si="0"/>
        <v>131.59317792358402</v>
      </c>
      <c r="K7" s="28">
        <f t="shared" si="0"/>
        <v>136.85690504052738</v>
      </c>
      <c r="L7" s="28">
        <f t="shared" si="0"/>
        <v>142.33118124214849</v>
      </c>
      <c r="M7" s="28">
        <f t="shared" si="0"/>
        <v>148.02442849183444</v>
      </c>
    </row>
    <row r="8" spans="1:13" ht="15" customHeight="1" x14ac:dyDescent="0.3">
      <c r="A8" s="65" t="s">
        <v>735</v>
      </c>
      <c r="C8" s="66">
        <f>ASSUMPTIONS!C26</f>
        <v>25</v>
      </c>
      <c r="D8" s="67">
        <f>C8*(1+ASSUMPTIONS!D27)</f>
        <v>25</v>
      </c>
      <c r="E8" s="67">
        <f>D8*(1+ASSUMPTIONS!E27)</f>
        <v>25</v>
      </c>
      <c r="F8" s="67">
        <f>E8*(1+ASSUMPTIONS!F27)</f>
        <v>25</v>
      </c>
      <c r="G8" s="67">
        <f>F8*(1+ASSUMPTIONS!G27)</f>
        <v>25</v>
      </c>
      <c r="H8" s="67">
        <f>G8*(1+ASSUMPTIONS!H27)</f>
        <v>25</v>
      </c>
      <c r="I8" s="67">
        <f>H8*(1+ASSUMPTIONS!I27)</f>
        <v>25</v>
      </c>
      <c r="J8" s="67">
        <f>I8*(1+ASSUMPTIONS!J27)</f>
        <v>25</v>
      </c>
      <c r="K8" s="67">
        <f>J8*(1+ASSUMPTIONS!K27)</f>
        <v>25</v>
      </c>
      <c r="L8" s="67">
        <f>K8*(1+ASSUMPTIONS!L27)</f>
        <v>25</v>
      </c>
      <c r="M8" s="68">
        <f>L8*(1-ASSUMPTIONS!M28)</f>
        <v>10</v>
      </c>
    </row>
    <row r="9" spans="1:13" ht="15" customHeight="1" x14ac:dyDescent="0.3">
      <c r="A9" s="65" t="s">
        <v>736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8">
        <f>L8*ASSUMPTIONS!M28*ASSUMPTIONS!M29</f>
        <v>12</v>
      </c>
    </row>
    <row r="10" spans="1:13" ht="15" customHeight="1" x14ac:dyDescent="0.3">
      <c r="A10" s="283" t="s">
        <v>409</v>
      </c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59"/>
    </row>
    <row r="11" spans="1:13" ht="15" customHeight="1" x14ac:dyDescent="0.3"/>
    <row r="12" spans="1:13" ht="15" customHeight="1" x14ac:dyDescent="0.3">
      <c r="A12" s="8" t="s">
        <v>410</v>
      </c>
    </row>
    <row r="13" spans="1:13" ht="15" customHeight="1" x14ac:dyDescent="0.3">
      <c r="A13" s="31" t="s">
        <v>737</v>
      </c>
      <c r="B13" s="34"/>
      <c r="C13" s="35">
        <v>15</v>
      </c>
      <c r="D13" s="69">
        <f t="shared" ref="D13:M13" si="1">C13*1.04</f>
        <v>15.600000000000001</v>
      </c>
      <c r="E13" s="69">
        <f t="shared" si="1"/>
        <v>16.224000000000004</v>
      </c>
      <c r="F13" s="69">
        <f t="shared" si="1"/>
        <v>16.872960000000006</v>
      </c>
      <c r="G13" s="69">
        <f t="shared" si="1"/>
        <v>17.547878400000005</v>
      </c>
      <c r="H13" s="69">
        <f t="shared" si="1"/>
        <v>18.249793536000006</v>
      </c>
      <c r="I13" s="69">
        <f t="shared" si="1"/>
        <v>18.979785277440005</v>
      </c>
      <c r="J13" s="69">
        <f t="shared" si="1"/>
        <v>19.738976688537605</v>
      </c>
      <c r="K13" s="69">
        <f t="shared" si="1"/>
        <v>20.528535756079108</v>
      </c>
      <c r="L13" s="69">
        <f t="shared" si="1"/>
        <v>21.349677186322275</v>
      </c>
      <c r="M13" s="69">
        <f t="shared" si="1"/>
        <v>22.203664273775168</v>
      </c>
    </row>
    <row r="14" spans="1:13" ht="15" customHeight="1" x14ac:dyDescent="0.3">
      <c r="A14" s="31" t="s">
        <v>738</v>
      </c>
      <c r="B14" s="32" t="s">
        <v>739</v>
      </c>
      <c r="C14" s="69">
        <f>JapanCo!C7</f>
        <v>50</v>
      </c>
      <c r="D14" s="69">
        <f>JapanCo!D7</f>
        <v>50</v>
      </c>
      <c r="E14" s="69">
        <f>JapanCo!E7</f>
        <v>50</v>
      </c>
      <c r="F14" s="69">
        <f>JapanCo!F7</f>
        <v>50</v>
      </c>
      <c r="G14" s="69">
        <f>JapanCo!G7</f>
        <v>50</v>
      </c>
      <c r="H14" s="69">
        <f>JapanCo!H7</f>
        <v>50</v>
      </c>
      <c r="I14" s="69">
        <f>JapanCo!I7</f>
        <v>50</v>
      </c>
      <c r="J14" s="69">
        <f>JapanCo!J7</f>
        <v>50</v>
      </c>
      <c r="K14" s="69">
        <f>JapanCo!K7</f>
        <v>50</v>
      </c>
      <c r="L14" s="69">
        <f>JapanCo!L7</f>
        <v>50</v>
      </c>
      <c r="M14" s="69">
        <f>JapanCo!M7</f>
        <v>50</v>
      </c>
    </row>
    <row r="15" spans="1:13" ht="15" customHeight="1" x14ac:dyDescent="0.3">
      <c r="A15" s="31" t="s">
        <v>740</v>
      </c>
      <c r="B15" s="34"/>
      <c r="C15" s="35">
        <v>8</v>
      </c>
      <c r="D15" s="69">
        <f t="shared" ref="D15:M15" si="2">C15*1.03</f>
        <v>8.24</v>
      </c>
      <c r="E15" s="69">
        <f t="shared" si="2"/>
        <v>8.4871999999999996</v>
      </c>
      <c r="F15" s="69">
        <f t="shared" si="2"/>
        <v>8.741816</v>
      </c>
      <c r="G15" s="69">
        <f t="shared" si="2"/>
        <v>9.0040704800000011</v>
      </c>
      <c r="H15" s="69">
        <f t="shared" si="2"/>
        <v>9.2741925944000005</v>
      </c>
      <c r="I15" s="69">
        <f t="shared" si="2"/>
        <v>9.5524183722320011</v>
      </c>
      <c r="J15" s="69">
        <f t="shared" si="2"/>
        <v>9.8389909233989616</v>
      </c>
      <c r="K15" s="69">
        <f t="shared" si="2"/>
        <v>10.134160651100931</v>
      </c>
      <c r="L15" s="69">
        <f t="shared" si="2"/>
        <v>10.438185470633959</v>
      </c>
      <c r="M15" s="69">
        <f t="shared" si="2"/>
        <v>10.751331034752978</v>
      </c>
    </row>
    <row r="16" spans="1:13" ht="15" customHeight="1" x14ac:dyDescent="0.3">
      <c r="A16" s="282" t="s">
        <v>418</v>
      </c>
      <c r="B16" s="259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</row>
    <row r="17" spans="1:13" ht="32.25" customHeight="1" x14ac:dyDescent="0.3"/>
    <row r="18" spans="1:13" ht="15" customHeight="1" x14ac:dyDescent="0.3">
      <c r="A18" s="40" t="s">
        <v>424</v>
      </c>
    </row>
    <row r="19" spans="1:13" ht="32.25" customHeight="1" x14ac:dyDescent="0.3">
      <c r="A19" s="41" t="s">
        <v>741</v>
      </c>
      <c r="B19" s="42" t="s">
        <v>742</v>
      </c>
      <c r="C19" s="70">
        <f t="shared" ref="C19:M19" si="3">(C4+C5+C7*0.2+C8)/(C13+C14)</f>
        <v>1.6923076923076923</v>
      </c>
      <c r="D19" s="70">
        <f t="shared" si="3"/>
        <v>1.7256097560975612</v>
      </c>
      <c r="E19" s="70">
        <f t="shared" si="3"/>
        <v>1.759513167431747</v>
      </c>
      <c r="F19" s="70">
        <f t="shared" si="3"/>
        <v>1.7835579582539789</v>
      </c>
      <c r="G19" s="70">
        <f t="shared" si="3"/>
        <v>1.7217131012067435</v>
      </c>
      <c r="H19" s="70">
        <f t="shared" si="3"/>
        <v>1.791221424743447</v>
      </c>
      <c r="I19" s="70">
        <f t="shared" si="3"/>
        <v>1.8466080697746023</v>
      </c>
      <c r="J19" s="70">
        <f t="shared" si="3"/>
        <v>1.89296226770908</v>
      </c>
      <c r="K19" s="70">
        <f t="shared" si="3"/>
        <v>1.9404944700805065</v>
      </c>
      <c r="L19" s="70">
        <f t="shared" si="3"/>
        <v>1.9571898769127116</v>
      </c>
      <c r="M19" s="70">
        <f t="shared" si="3"/>
        <v>1.1979018057497421</v>
      </c>
    </row>
    <row r="20" spans="1:13" ht="15" customHeight="1" x14ac:dyDescent="0.3">
      <c r="A20" s="71" t="s">
        <v>743</v>
      </c>
      <c r="B20" s="72"/>
      <c r="C20" s="73" t="str">
        <f t="shared" ref="C20:M20" si="4">IF(C19&lt;1,"BREACH -- forced liquidation","OK")</f>
        <v>OK</v>
      </c>
      <c r="D20" s="73" t="str">
        <f t="shared" si="4"/>
        <v>OK</v>
      </c>
      <c r="E20" s="73" t="str">
        <f t="shared" si="4"/>
        <v>OK</v>
      </c>
      <c r="F20" s="73" t="str">
        <f t="shared" si="4"/>
        <v>OK</v>
      </c>
      <c r="G20" s="73" t="str">
        <f t="shared" si="4"/>
        <v>OK</v>
      </c>
      <c r="H20" s="73" t="str">
        <f t="shared" si="4"/>
        <v>OK</v>
      </c>
      <c r="I20" s="73" t="str">
        <f t="shared" si="4"/>
        <v>OK</v>
      </c>
      <c r="J20" s="73" t="str">
        <f t="shared" si="4"/>
        <v>OK</v>
      </c>
      <c r="K20" s="73" t="str">
        <f t="shared" si="4"/>
        <v>OK</v>
      </c>
      <c r="L20" s="73" t="str">
        <f t="shared" si="4"/>
        <v>OK</v>
      </c>
      <c r="M20" s="73" t="str">
        <f t="shared" si="4"/>
        <v>OK</v>
      </c>
    </row>
    <row r="21" spans="1:13" ht="15" customHeight="1" x14ac:dyDescent="0.3">
      <c r="A21" s="65" t="s">
        <v>744</v>
      </c>
      <c r="C21" s="74">
        <f t="shared" ref="C21:M21" si="5">(C4+C5+C7*0.2)/(C13+C14)</f>
        <v>1.3076923076923077</v>
      </c>
      <c r="D21" s="74">
        <f t="shared" si="5"/>
        <v>1.3445121951219514</v>
      </c>
      <c r="E21" s="74">
        <f t="shared" si="5"/>
        <v>1.3820065233148107</v>
      </c>
      <c r="F21" s="74">
        <f t="shared" si="5"/>
        <v>1.4097147785891337</v>
      </c>
      <c r="G21" s="74">
        <f t="shared" si="5"/>
        <v>1.3516052518978894</v>
      </c>
      <c r="H21" s="74">
        <f t="shared" si="5"/>
        <v>1.424919950339526</v>
      </c>
      <c r="I21" s="74">
        <f t="shared" si="5"/>
        <v>1.4841830506266187</v>
      </c>
      <c r="J21" s="74">
        <f t="shared" si="5"/>
        <v>1.5344826744157498</v>
      </c>
      <c r="K21" s="74">
        <f t="shared" si="5"/>
        <v>1.5860280157298621</v>
      </c>
      <c r="L21" s="74">
        <f t="shared" si="5"/>
        <v>1.6068028676664736</v>
      </c>
      <c r="M21" s="74">
        <f t="shared" si="5"/>
        <v>1.0594046795916716</v>
      </c>
    </row>
    <row r="22" spans="1:13" ht="34.5" customHeight="1" x14ac:dyDescent="0.3">
      <c r="A22" s="75" t="s">
        <v>745</v>
      </c>
      <c r="C22" s="76" t="str">
        <f t="shared" ref="C22:M22" si="6">IF(C19&lt;1.2,IF(C19&lt;1,"BREACH","WARNING"),"OK")</f>
        <v>OK</v>
      </c>
      <c r="D22" s="76" t="str">
        <f t="shared" si="6"/>
        <v>OK</v>
      </c>
      <c r="E22" s="76" t="str">
        <f t="shared" si="6"/>
        <v>OK</v>
      </c>
      <c r="F22" s="76" t="str">
        <f t="shared" si="6"/>
        <v>OK</v>
      </c>
      <c r="G22" s="76" t="str">
        <f t="shared" si="6"/>
        <v>OK</v>
      </c>
      <c r="H22" s="76" t="str">
        <f t="shared" si="6"/>
        <v>OK</v>
      </c>
      <c r="I22" s="76" t="str">
        <f t="shared" si="6"/>
        <v>OK</v>
      </c>
      <c r="J22" s="76" t="str">
        <f t="shared" si="6"/>
        <v>OK</v>
      </c>
      <c r="K22" s="76" t="str">
        <f t="shared" si="6"/>
        <v>OK</v>
      </c>
      <c r="L22" s="76" t="str">
        <f t="shared" si="6"/>
        <v>OK</v>
      </c>
      <c r="M22" s="76" t="str">
        <f t="shared" si="6"/>
        <v>WARNING</v>
      </c>
    </row>
    <row r="24" spans="1:13" x14ac:dyDescent="0.3">
      <c r="A24" s="261" t="s">
        <v>746</v>
      </c>
      <c r="B24" s="259"/>
      <c r="C24" s="259"/>
      <c r="D24" s="259"/>
      <c r="E24" s="259"/>
      <c r="F24" s="259"/>
      <c r="G24" s="259"/>
      <c r="H24" s="259"/>
      <c r="I24" s="259"/>
      <c r="J24" s="259"/>
      <c r="K24" s="259"/>
      <c r="L24" s="259"/>
      <c r="M24" s="259"/>
    </row>
    <row r="25" spans="1:13" x14ac:dyDescent="0.3">
      <c r="A25" s="180" t="s">
        <v>747</v>
      </c>
      <c r="B25" s="193" t="s">
        <v>748</v>
      </c>
      <c r="C25" s="248">
        <f>ASSUMPTIONS!C110</f>
        <v>1</v>
      </c>
      <c r="D25" s="248">
        <f>ASSUMPTIONS!D110</f>
        <v>1</v>
      </c>
      <c r="E25" s="248">
        <f>ASSUMPTIONS!E110</f>
        <v>1</v>
      </c>
      <c r="F25" s="248">
        <f>ASSUMPTIONS!F110</f>
        <v>1</v>
      </c>
      <c r="G25" s="248">
        <f>ASSUMPTIONS!G110</f>
        <v>1</v>
      </c>
      <c r="H25" s="248">
        <f>ASSUMPTIONS!H110</f>
        <v>1</v>
      </c>
      <c r="I25" s="248">
        <f>ASSUMPTIONS!I110</f>
        <v>1</v>
      </c>
      <c r="J25" s="248">
        <f>ASSUMPTIONS!J110</f>
        <v>1</v>
      </c>
      <c r="K25" s="248">
        <f>ASSUMPTIONS!K110</f>
        <v>0</v>
      </c>
      <c r="L25" s="248">
        <f>ASSUMPTIONS!L110</f>
        <v>0.4</v>
      </c>
      <c r="M25" s="248">
        <f>ASSUMPTIONS!M110</f>
        <v>0.6</v>
      </c>
    </row>
    <row r="26" spans="1:13" x14ac:dyDescent="0.3">
      <c r="A26" s="180" t="s">
        <v>749</v>
      </c>
      <c r="B26" s="193" t="s">
        <v>750</v>
      </c>
      <c r="C26" s="248">
        <f>ASSUMPTIONS!C111</f>
        <v>1</v>
      </c>
      <c r="D26" s="248">
        <f>ASSUMPTIONS!D111</f>
        <v>1</v>
      </c>
      <c r="E26" s="248">
        <f>ASSUMPTIONS!E111</f>
        <v>1</v>
      </c>
      <c r="F26" s="248">
        <f>ASSUMPTIONS!F111</f>
        <v>1</v>
      </c>
      <c r="G26" s="248">
        <f>ASSUMPTIONS!G111</f>
        <v>1</v>
      </c>
      <c r="H26" s="248">
        <f>ASSUMPTIONS!H111</f>
        <v>1</v>
      </c>
      <c r="I26" s="248">
        <f>ASSUMPTIONS!I111</f>
        <v>1</v>
      </c>
      <c r="J26" s="248">
        <f>ASSUMPTIONS!J111</f>
        <v>1</v>
      </c>
      <c r="K26" s="248">
        <f>ASSUMPTIONS!K111</f>
        <v>0</v>
      </c>
      <c r="L26" s="248">
        <f>ASSUMPTIONS!L111</f>
        <v>2.2000000000000002</v>
      </c>
      <c r="M26" s="248">
        <f>ASSUMPTIONS!M111</f>
        <v>1.8</v>
      </c>
    </row>
    <row r="27" spans="1:13" x14ac:dyDescent="0.3">
      <c r="A27" s="200" t="s">
        <v>751</v>
      </c>
      <c r="B27" s="202" t="s">
        <v>752</v>
      </c>
      <c r="C27" s="245">
        <f>ASSUMPTIONS!C110*ASSUMPTIONS!C111*60</f>
        <v>60</v>
      </c>
      <c r="D27" s="245">
        <f>ASSUMPTIONS!D110*ASSUMPTIONS!D111*60</f>
        <v>60</v>
      </c>
      <c r="E27" s="245">
        <f>ASSUMPTIONS!E110*ASSUMPTIONS!E111*60</f>
        <v>60</v>
      </c>
      <c r="F27" s="245">
        <f>ASSUMPTIONS!F110*ASSUMPTIONS!F111*60</f>
        <v>60</v>
      </c>
      <c r="G27" s="245">
        <f>ASSUMPTIONS!G110*ASSUMPTIONS!G111*60</f>
        <v>60</v>
      </c>
      <c r="H27" s="245">
        <f>ASSUMPTIONS!H110*ASSUMPTIONS!H111*60</f>
        <v>60</v>
      </c>
      <c r="I27" s="245">
        <f>ASSUMPTIONS!I110*ASSUMPTIONS!I111*60</f>
        <v>60</v>
      </c>
      <c r="J27" s="245">
        <f>ASSUMPTIONS!J110*ASSUMPTIONS!J111*60</f>
        <v>60</v>
      </c>
      <c r="K27" s="245">
        <f>ASSUMPTIONS!K110*ASSUMPTIONS!K111*60</f>
        <v>0</v>
      </c>
      <c r="L27" s="245">
        <f>ASSUMPTIONS!L110*ASSUMPTIONS!L111*60</f>
        <v>52.800000000000004</v>
      </c>
      <c r="M27" s="245">
        <f>ASSUMPTIONS!M110*ASSUMPTIONS!M111*60</f>
        <v>64.800000000000011</v>
      </c>
    </row>
    <row r="28" spans="1:13" x14ac:dyDescent="0.3">
      <c r="A28" s="233" t="s">
        <v>753</v>
      </c>
      <c r="B28" s="231" t="s">
        <v>754</v>
      </c>
      <c r="C28" s="249">
        <f>MAX(0,(CommodityCo!C13+CommodityCo!C14+CommodityCo!C15)-C27)</f>
        <v>13</v>
      </c>
      <c r="D28" s="249">
        <f>MAX(0,(CommodityCo!D13+CommodityCo!D14+CommodityCo!D15)-D27)</f>
        <v>13.839999999999989</v>
      </c>
      <c r="E28" s="249">
        <f>MAX(0,(CommodityCo!E13+CommodityCo!E14+CommodityCo!E15)-E27)</f>
        <v>14.711200000000005</v>
      </c>
      <c r="F28" s="249">
        <f>MAX(0,(CommodityCo!F13+CommodityCo!F14+CommodityCo!F15)-F27)</f>
        <v>15.614776000000006</v>
      </c>
      <c r="G28" s="249">
        <f>MAX(0,(CommodityCo!G13+CommodityCo!G14+CommodityCo!G15)-G27)</f>
        <v>16.551948879999998</v>
      </c>
      <c r="H28" s="249">
        <f>MAX(0,(CommodityCo!H13+CommodityCo!H14+CommodityCo!H15)-H27)</f>
        <v>17.523986130400004</v>
      </c>
      <c r="I28" s="249">
        <f>MAX(0,(CommodityCo!I13+CommodityCo!I14+CommodityCo!I15)-I27)</f>
        <v>18.532203649671999</v>
      </c>
      <c r="J28" s="249">
        <f>MAX(0,(CommodityCo!J13+CommodityCo!J14+CommodityCo!J15)-J27)</f>
        <v>19.577967611936572</v>
      </c>
      <c r="K28" s="249">
        <f>MAX(0,(CommodityCo!K13+CommodityCo!K14+CommodityCo!K15)-K27)</f>
        <v>80.662696407180036</v>
      </c>
      <c r="L28" s="249">
        <f>MAX(0,(CommodityCo!L13+CommodityCo!L14+CommodityCo!L15)-L27)</f>
        <v>28.987862656956231</v>
      </c>
      <c r="M28" s="249">
        <f>MAX(0,(CommodityCo!M13+CommodityCo!M14+CommodityCo!M15)-M27)</f>
        <v>18.154995308528129</v>
      </c>
    </row>
    <row r="29" spans="1:13" x14ac:dyDescent="0.3">
      <c r="A29" s="233" t="s">
        <v>755</v>
      </c>
      <c r="B29" s="231" t="s">
        <v>756</v>
      </c>
      <c r="C29" s="249">
        <f>MAX(0,C28-CommodityCo!C4)</f>
        <v>0</v>
      </c>
      <c r="D29" s="249">
        <f>MAX(0,D28-CommodityCo!D4)</f>
        <v>0</v>
      </c>
      <c r="E29" s="249">
        <f>MAX(0,E28-CommodityCo!E4)</f>
        <v>0</v>
      </c>
      <c r="F29" s="249">
        <f>MAX(0,F28-CommodityCo!F4)</f>
        <v>0</v>
      </c>
      <c r="G29" s="249">
        <f>MAX(0,G28-CommodityCo!G4)</f>
        <v>0</v>
      </c>
      <c r="H29" s="249">
        <f>MAX(0,H28-CommodityCo!H4)</f>
        <v>0</v>
      </c>
      <c r="I29" s="249">
        <f>MAX(0,I28-CommodityCo!I4)</f>
        <v>0</v>
      </c>
      <c r="J29" s="249">
        <f>MAX(0,J28-CommodityCo!J4)</f>
        <v>0</v>
      </c>
      <c r="K29" s="249">
        <f>MAX(0,K28-CommodityCo!K4)</f>
        <v>21.185226001663224</v>
      </c>
      <c r="L29" s="249">
        <f>MAX(0,L28-CommodityCo!L4)</f>
        <v>0</v>
      </c>
      <c r="M29" s="249">
        <f>MAX(0,M28-CommodityCo!M4)</f>
        <v>0</v>
      </c>
    </row>
    <row r="30" spans="1:13" x14ac:dyDescent="0.3">
      <c r="A30" s="179" t="s">
        <v>757</v>
      </c>
      <c r="B30" s="199" t="s">
        <v>758</v>
      </c>
      <c r="C30" s="220">
        <f>IF((C27+CommodityCo!C8)&gt;0,(C27+CommodityCo!C4+CommodityCo!C5+CommodityCo!C7*0.2+CommodityCo!C8)/(CommodityCo!C13+CommodityCo!C14),0)</f>
        <v>2.6153846153846154</v>
      </c>
      <c r="D30" s="220">
        <f>IF((D27+CommodityCo!D8)&gt;0,(D27+CommodityCo!D4+CommodityCo!D5+CommodityCo!D7*0.2+CommodityCo!D8)/(CommodityCo!D13+CommodityCo!D14),0)</f>
        <v>2.6402439024390247</v>
      </c>
      <c r="E30" s="220">
        <f>IF((E27+CommodityCo!E8)&gt;0,(E27+CommodityCo!E4+CommodityCo!E5+CommodityCo!E7*0.2+CommodityCo!E8)/(CommodityCo!E13+CommodityCo!E14),0)</f>
        <v>2.6655291133123939</v>
      </c>
      <c r="F30" s="220">
        <f>IF((F27+CommodityCo!F8)&gt;0,(F27+CommodityCo!F4+CommodityCo!F5+CommodityCo!F7*0.2+CommodityCo!F8)/(CommodityCo!F13+CommodityCo!F14),0)</f>
        <v>2.6807815894496065</v>
      </c>
      <c r="G30" s="220">
        <f>IF((G27+CommodityCo!G8)&gt;0,(G27+CommodityCo!G4+CommodityCo!G5+CommodityCo!G7*0.2+CommodityCo!G8)/(CommodityCo!G13+CommodityCo!G14),0)</f>
        <v>2.609971939547993</v>
      </c>
      <c r="H30" s="220">
        <f>IF((H27+CommodityCo!H8)&gt;0,(H27+CommodityCo!H4+CommodityCo!H5+CommodityCo!H7*0.2+CommodityCo!H8)/(CommodityCo!H13+CommodityCo!H14),0)</f>
        <v>2.6703449633128575</v>
      </c>
      <c r="I30" s="220">
        <f>IF((I27+CommodityCo!I8)&gt;0,(I27+CommodityCo!I4+CommodityCo!I5+CommodityCo!I7*0.2+CommodityCo!I8)/(CommodityCo!I13+CommodityCo!I14),0)</f>
        <v>2.7164281157297632</v>
      </c>
      <c r="J30" s="220">
        <f>IF((J27+CommodityCo!J8)&gt;0,(J27+CommodityCo!J4+CommodityCo!J5+CommodityCo!J7*0.2+CommodityCo!J8)/(CommodityCo!J13+CommodityCo!J14),0)</f>
        <v>2.7533132916130727</v>
      </c>
      <c r="K30" s="220">
        <f>IF((K27+CommodityCo!K8)&gt;0,(K27+CommodityCo!K4+CommodityCo!K5+CommodityCo!K7*0.2+CommodityCo!K8)/(CommodityCo!K13+CommodityCo!K14),0)</f>
        <v>1.9404944700805065</v>
      </c>
      <c r="L30" s="220">
        <f>IF((L27+CommodityCo!L8)&gt;0,(L27+CommodityCo!L4+CommodityCo!L5+CommodityCo!L7*0.2+CommodityCo!L8)/(CommodityCo!L13+CommodityCo!L14),0)</f>
        <v>2.6972072404407665</v>
      </c>
      <c r="M30" s="220">
        <f>IF((M27+CommodityCo!M8)&gt;0,(M27+CommodityCo!M4+CommodityCo!M5+CommodityCo!M7*0.2+CommodityCo!M8)/(CommodityCo!M13+CommodityCo!M14),0)</f>
        <v>2.0953631832540385</v>
      </c>
    </row>
    <row r="31" spans="1:13" x14ac:dyDescent="0.3">
      <c r="A31" s="176" t="s">
        <v>759</v>
      </c>
      <c r="B31" s="199" t="s">
        <v>760</v>
      </c>
      <c r="C31" s="178">
        <f t="shared" ref="C31:M31" si="7">C27-60</f>
        <v>0</v>
      </c>
      <c r="D31" s="178">
        <f t="shared" si="7"/>
        <v>0</v>
      </c>
      <c r="E31" s="178">
        <f t="shared" si="7"/>
        <v>0</v>
      </c>
      <c r="F31" s="178">
        <f t="shared" si="7"/>
        <v>0</v>
      </c>
      <c r="G31" s="178">
        <f t="shared" si="7"/>
        <v>0</v>
      </c>
      <c r="H31" s="178">
        <f t="shared" si="7"/>
        <v>0</v>
      </c>
      <c r="I31" s="178">
        <f t="shared" si="7"/>
        <v>0</v>
      </c>
      <c r="J31" s="178">
        <f t="shared" si="7"/>
        <v>0</v>
      </c>
      <c r="K31" s="178">
        <f t="shared" si="7"/>
        <v>-60</v>
      </c>
      <c r="L31" s="178">
        <f t="shared" si="7"/>
        <v>-7.1999999999999957</v>
      </c>
      <c r="M31" s="178">
        <f t="shared" si="7"/>
        <v>4.8000000000000114</v>
      </c>
    </row>
  </sheetData>
  <mergeCells count="5">
    <mergeCell ref="A1:M1"/>
    <mergeCell ref="A3:M3"/>
    <mergeCell ref="A24:M24"/>
    <mergeCell ref="A16:M16"/>
    <mergeCell ref="A10:M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6"/>
  <sheetViews>
    <sheetView zoomScaleNormal="100" workbookViewId="0"/>
  </sheetViews>
  <sheetFormatPr defaultColWidth="8.6640625" defaultRowHeight="14.4" x14ac:dyDescent="0.3"/>
  <cols>
    <col min="1" max="1" width="48" customWidth="1"/>
    <col min="2" max="2" width="14" customWidth="1"/>
    <col min="3" max="13" width="10" customWidth="1"/>
  </cols>
  <sheetData>
    <row r="1" spans="1:14" ht="15" customHeight="1" x14ac:dyDescent="0.3">
      <c r="A1" s="275" t="s">
        <v>761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</row>
    <row r="2" spans="1:14" ht="15" customHeight="1" x14ac:dyDescent="0.3">
      <c r="A2" s="45" t="s">
        <v>106</v>
      </c>
      <c r="B2" s="45" t="s">
        <v>432</v>
      </c>
      <c r="C2" s="45" t="s">
        <v>108</v>
      </c>
      <c r="D2" s="45" t="s">
        <v>109</v>
      </c>
      <c r="E2" s="45" t="s">
        <v>110</v>
      </c>
      <c r="F2" s="45" t="s">
        <v>111</v>
      </c>
      <c r="G2" s="45" t="s">
        <v>112</v>
      </c>
      <c r="H2" s="45" t="s">
        <v>113</v>
      </c>
      <c r="I2" s="45" t="s">
        <v>114</v>
      </c>
      <c r="J2" s="45" t="s">
        <v>115</v>
      </c>
      <c r="K2" s="45" t="s">
        <v>116</v>
      </c>
      <c r="L2" s="45" t="s">
        <v>117</v>
      </c>
      <c r="M2" s="45" t="s">
        <v>433</v>
      </c>
    </row>
    <row r="3" spans="1:14" ht="15" customHeight="1" x14ac:dyDescent="0.3">
      <c r="A3" s="46" t="s">
        <v>404</v>
      </c>
    </row>
    <row r="4" spans="1:14" ht="23.25" customHeight="1" x14ac:dyDescent="0.3">
      <c r="A4" s="47" t="s">
        <v>762</v>
      </c>
      <c r="B4" s="77" t="s">
        <v>763</v>
      </c>
      <c r="C4" s="49">
        <f>RepoCo!C13</f>
        <v>61.68</v>
      </c>
      <c r="D4" s="49">
        <f>RepoCo!D13</f>
        <v>31.366499999999995</v>
      </c>
      <c r="E4" s="49">
        <f>RepoCo!E13</f>
        <v>51.082605000000008</v>
      </c>
      <c r="F4" s="49">
        <f>RepoCo!F13</f>
        <v>78.762991200000016</v>
      </c>
      <c r="G4" s="49">
        <f>RepoCo!G13</f>
        <v>121.08499854000002</v>
      </c>
      <c r="H4" s="49">
        <f>RepoCo!H13</f>
        <v>167.78307443524002</v>
      </c>
      <c r="I4" s="49">
        <f>RepoCo!I13</f>
        <v>306.50802687914086</v>
      </c>
      <c r="J4" s="49">
        <f>RepoCo!J13</f>
        <v>413.02590835496818</v>
      </c>
      <c r="K4" s="49">
        <f>RepoCo!K13</f>
        <v>565.48937439127394</v>
      </c>
      <c r="L4" s="49">
        <f>RepoCo!L13</f>
        <v>705.89839819263364</v>
      </c>
      <c r="M4" s="49">
        <f>RepoCo!M13</f>
        <v>777.16258130793119</v>
      </c>
    </row>
    <row r="5" spans="1:14" ht="15" customHeight="1" x14ac:dyDescent="0.3">
      <c r="A5" s="46" t="s">
        <v>409</v>
      </c>
      <c r="C5" s="49">
        <f t="shared" ref="C5:M5" si="0">SUM(C4:C4)</f>
        <v>61.68</v>
      </c>
      <c r="D5" s="49">
        <f t="shared" si="0"/>
        <v>31.366499999999995</v>
      </c>
      <c r="E5" s="49">
        <f t="shared" si="0"/>
        <v>51.082605000000008</v>
      </c>
      <c r="F5" s="49">
        <f t="shared" si="0"/>
        <v>78.762991200000016</v>
      </c>
      <c r="G5" s="49">
        <f t="shared" si="0"/>
        <v>121.08499854000002</v>
      </c>
      <c r="H5" s="49">
        <f t="shared" si="0"/>
        <v>167.78307443524002</v>
      </c>
      <c r="I5" s="49">
        <f t="shared" si="0"/>
        <v>306.50802687914086</v>
      </c>
      <c r="J5" s="49">
        <f t="shared" si="0"/>
        <v>413.02590835496818</v>
      </c>
      <c r="K5" s="49">
        <f t="shared" si="0"/>
        <v>565.48937439127394</v>
      </c>
      <c r="L5" s="49">
        <f t="shared" si="0"/>
        <v>705.89839819263364</v>
      </c>
      <c r="M5" s="49">
        <f t="shared" si="0"/>
        <v>777.16258130793119</v>
      </c>
    </row>
    <row r="6" spans="1:14" ht="6" customHeight="1" x14ac:dyDescent="0.3"/>
    <row r="7" spans="1:14" ht="15" customHeight="1" x14ac:dyDescent="0.3">
      <c r="A7" s="51" t="s">
        <v>410</v>
      </c>
    </row>
    <row r="8" spans="1:14" ht="23.25" customHeight="1" x14ac:dyDescent="0.3">
      <c r="A8" s="52" t="s">
        <v>764</v>
      </c>
      <c r="B8" s="77" t="s">
        <v>765</v>
      </c>
      <c r="C8" s="53">
        <f t="shared" ref="C8:M8" si="1">C4</f>
        <v>61.68</v>
      </c>
      <c r="D8" s="53">
        <f t="shared" si="1"/>
        <v>31.366499999999995</v>
      </c>
      <c r="E8" s="53">
        <f t="shared" si="1"/>
        <v>51.082605000000008</v>
      </c>
      <c r="F8" s="53">
        <f t="shared" si="1"/>
        <v>78.762991200000016</v>
      </c>
      <c r="G8" s="53">
        <f t="shared" si="1"/>
        <v>121.08499854000002</v>
      </c>
      <c r="H8" s="53">
        <f t="shared" si="1"/>
        <v>167.78307443524002</v>
      </c>
      <c r="I8" s="53">
        <f t="shared" si="1"/>
        <v>306.50802687914086</v>
      </c>
      <c r="J8" s="53">
        <f t="shared" si="1"/>
        <v>413.02590835496818</v>
      </c>
      <c r="K8" s="53">
        <f t="shared" si="1"/>
        <v>565.48937439127394</v>
      </c>
      <c r="L8" s="53">
        <f t="shared" si="1"/>
        <v>705.89839819263364</v>
      </c>
      <c r="M8" s="53">
        <f t="shared" si="1"/>
        <v>777.16258130793119</v>
      </c>
    </row>
    <row r="9" spans="1:14" ht="15" customHeight="1" x14ac:dyDescent="0.3">
      <c r="A9" s="51" t="s">
        <v>418</v>
      </c>
      <c r="C9" s="54">
        <f t="shared" ref="C9:M9" si="2">SUM(C8:C8)</f>
        <v>61.68</v>
      </c>
      <c r="D9" s="54">
        <f t="shared" si="2"/>
        <v>31.366499999999995</v>
      </c>
      <c r="E9" s="54">
        <f t="shared" si="2"/>
        <v>51.082605000000008</v>
      </c>
      <c r="F9" s="54">
        <f t="shared" si="2"/>
        <v>78.762991200000016</v>
      </c>
      <c r="G9" s="54">
        <f t="shared" si="2"/>
        <v>121.08499854000002</v>
      </c>
      <c r="H9" s="54">
        <f t="shared" si="2"/>
        <v>167.78307443524002</v>
      </c>
      <c r="I9" s="54">
        <f t="shared" si="2"/>
        <v>306.50802687914086</v>
      </c>
      <c r="J9" s="54">
        <f t="shared" si="2"/>
        <v>413.02590835496818</v>
      </c>
      <c r="K9" s="54">
        <f t="shared" si="2"/>
        <v>565.48937439127394</v>
      </c>
      <c r="L9" s="54">
        <f t="shared" si="2"/>
        <v>705.89839819263364</v>
      </c>
      <c r="M9" s="54">
        <f t="shared" si="2"/>
        <v>777.16258130793119</v>
      </c>
    </row>
    <row r="10" spans="1:14" ht="6" customHeight="1" x14ac:dyDescent="0.3"/>
    <row r="11" spans="1:14" ht="23.25" customHeight="1" x14ac:dyDescent="0.3">
      <c r="A11" s="78" t="s">
        <v>766</v>
      </c>
      <c r="C11" s="79">
        <f t="shared" ref="C11:M11" si="3">C5-C9</f>
        <v>0</v>
      </c>
      <c r="D11" s="79">
        <f t="shared" si="3"/>
        <v>0</v>
      </c>
      <c r="E11" s="79">
        <f t="shared" si="3"/>
        <v>0</v>
      </c>
      <c r="F11" s="79">
        <f t="shared" si="3"/>
        <v>0</v>
      </c>
      <c r="G11" s="79">
        <f t="shared" si="3"/>
        <v>0</v>
      </c>
      <c r="H11" s="79">
        <f t="shared" si="3"/>
        <v>0</v>
      </c>
      <c r="I11" s="79">
        <f t="shared" si="3"/>
        <v>0</v>
      </c>
      <c r="J11" s="79">
        <f t="shared" si="3"/>
        <v>0</v>
      </c>
      <c r="K11" s="79">
        <f t="shared" si="3"/>
        <v>0</v>
      </c>
      <c r="L11" s="79">
        <f t="shared" si="3"/>
        <v>0</v>
      </c>
      <c r="M11" s="79">
        <f t="shared" si="3"/>
        <v>0</v>
      </c>
    </row>
    <row r="12" spans="1:14" ht="6" customHeight="1" x14ac:dyDescent="0.3"/>
    <row r="13" spans="1:14" ht="15" customHeight="1" x14ac:dyDescent="0.3">
      <c r="A13" s="59" t="s">
        <v>767</v>
      </c>
    </row>
    <row r="14" spans="1:14" ht="23.25" customHeight="1" x14ac:dyDescent="0.3">
      <c r="A14" s="60" t="s">
        <v>768</v>
      </c>
      <c r="C14" s="61">
        <f>ASSUMPTIONS!C39</f>
        <v>0.77100000000000002</v>
      </c>
      <c r="D14" s="61">
        <f>ASSUMPTIONS!D39</f>
        <v>0.3</v>
      </c>
      <c r="E14" s="61">
        <f>ASSUMPTIONS!E39</f>
        <v>0.35</v>
      </c>
      <c r="F14" s="61">
        <f>ASSUMPTIONS!F39</f>
        <v>0.4</v>
      </c>
      <c r="G14" s="61">
        <f>ASSUMPTIONS!G39</f>
        <v>0.5</v>
      </c>
      <c r="H14" s="61">
        <f>ASSUMPTIONS!H39</f>
        <v>0.55000000000000004</v>
      </c>
      <c r="I14" s="61">
        <f>ASSUMPTIONS!I39</f>
        <v>0.7</v>
      </c>
      <c r="J14" s="61">
        <f>ASSUMPTIONS!J39</f>
        <v>0.72</v>
      </c>
      <c r="K14" s="61">
        <f>ASSUMPTIONS!K39</f>
        <v>0.75</v>
      </c>
      <c r="L14" s="61">
        <f>ASSUMPTIONS!L39</f>
        <v>0.76</v>
      </c>
      <c r="M14" s="61">
        <f>ASSUMPTIONS!M39</f>
        <v>0.76</v>
      </c>
    </row>
    <row r="15" spans="1:14" ht="23.25" customHeight="1" x14ac:dyDescent="0.3">
      <c r="A15" s="60" t="s">
        <v>769</v>
      </c>
      <c r="C15" s="61">
        <f>IF(GlobalBankCo!C4=0,"-",C4/GlobalBankCo!C4)</f>
        <v>0.77100000000000002</v>
      </c>
      <c r="D15" s="61">
        <f>IF(GlobalBankCo!D4=0,"-",D4/GlobalBankCo!D4)</f>
        <v>0.3</v>
      </c>
      <c r="E15" s="61">
        <f>IF(GlobalBankCo!E4=0,"-",E4/GlobalBankCo!E4)</f>
        <v>0.35</v>
      </c>
      <c r="F15" s="61">
        <f>IF(GlobalBankCo!F4=0,"-",F4/GlobalBankCo!F4)</f>
        <v>0.4</v>
      </c>
      <c r="G15" s="61">
        <f>IF(GlobalBankCo!G4=0,"-",G4/GlobalBankCo!G4)</f>
        <v>0.5</v>
      </c>
      <c r="H15" s="61">
        <f>IF(GlobalBankCo!H4=0,"-",H4/GlobalBankCo!H4)</f>
        <v>0.55000000000000004</v>
      </c>
      <c r="I15" s="61">
        <f>IF(GlobalBankCo!I4=0,"-",I4/GlobalBankCo!I4)</f>
        <v>0.7</v>
      </c>
      <c r="J15" s="61">
        <f>IF(GlobalBankCo!J4=0,"-",J4/GlobalBankCo!J4)</f>
        <v>0.72</v>
      </c>
      <c r="K15" s="61">
        <f>IF(GlobalBankCo!K4=0,"-",K4/GlobalBankCo!K4)</f>
        <v>0.75</v>
      </c>
      <c r="L15" s="61">
        <f>IF(GlobalBankCo!L4=0,"-",L4/GlobalBankCo!L4)</f>
        <v>0.76</v>
      </c>
      <c r="M15" s="61">
        <f>IF(GlobalBankCo!M4=0,"-",M4/GlobalBankCo!M4)</f>
        <v>0.76</v>
      </c>
    </row>
    <row r="16" spans="1:14" ht="48" customHeight="1" x14ac:dyDescent="0.3">
      <c r="A16" s="80" t="s">
        <v>770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5A5A5"/>
  </sheetPr>
  <dimension ref="A1:M37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52" customWidth="1"/>
    <col min="3" max="13" width="9" customWidth="1"/>
  </cols>
  <sheetData>
    <row r="1" spans="1:13" ht="21.75" customHeight="1" x14ac:dyDescent="0.3">
      <c r="A1" s="273" t="s">
        <v>771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ht="27.75" customHeight="1" x14ac:dyDescent="0.3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117</v>
      </c>
      <c r="M2" s="7" t="s">
        <v>118</v>
      </c>
    </row>
    <row r="3" spans="1:13" ht="15" customHeight="1" x14ac:dyDescent="0.3">
      <c r="A3" s="258" t="s">
        <v>404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</row>
    <row r="4" spans="1:13" ht="34.5" customHeight="1" x14ac:dyDescent="0.3">
      <c r="A4" s="24" t="s">
        <v>772</v>
      </c>
      <c r="B4" s="25" t="s">
        <v>773</v>
      </c>
      <c r="C4" s="246">
        <v>80</v>
      </c>
      <c r="D4" s="28">
        <f>C4+(JapanCo!D5-JapanCo!C5)+(CommodityCo!D4-CommodityCo!C4)+C4*0.06</f>
        <v>104.55499999999999</v>
      </c>
      <c r="E4" s="28">
        <f>D4+(JapanCo!E5-JapanCo!D5)+(CommodityCo!E4-CommodityCo!D4)+D4*0.06</f>
        <v>145.95030000000003</v>
      </c>
      <c r="F4" s="28">
        <f>E4+(JapanCo!F5-JapanCo!E5)+(CommodityCo!F4-CommodityCo!E4)+E4*0.06</f>
        <v>196.90747800000003</v>
      </c>
      <c r="G4" s="28">
        <f>F4+(JapanCo!G5-JapanCo!F5)+(CommodityCo!G4-CommodityCo!F4)+F4*0.06</f>
        <v>242.16999708000003</v>
      </c>
      <c r="H4" s="28">
        <f>G4+(JapanCo!H5-JapanCo!G5)+(CommodityCo!H4-CommodityCo!G4)+G4*0.06</f>
        <v>305.06013533680004</v>
      </c>
      <c r="I4" s="28">
        <f>H4+(JapanCo!I5-JapanCo!H5)+(CommodityCo!I4-CommodityCo!H4)+H4*0.18</f>
        <v>437.86860982734413</v>
      </c>
      <c r="J4" s="28">
        <f>I4+(JapanCo!J5-JapanCo!I5)+(CommodityCo!J4-CommodityCo!I4)+I4*0.22</f>
        <v>573.64709493745579</v>
      </c>
      <c r="K4" s="28">
        <f>J4+(JapanCo!K5-JapanCo!J5)+(CommodityCo!K4-CommodityCo!J4)+J4*0.18</f>
        <v>753.98583252169863</v>
      </c>
      <c r="L4" s="28">
        <f>K4+(JapanCo!L5-JapanCo!K5)+(CommodityCo!L4-CommodityCo!K4)+K4*0.12</f>
        <v>928.81368183241273</v>
      </c>
      <c r="M4" s="28">
        <f>L4+(JapanCo!M5-JapanCo!L5)+(CommodityCo!M4-CommodityCo!L4)+L4*0.06</f>
        <v>1022.5823438262253</v>
      </c>
    </row>
    <row r="5" spans="1:13" ht="21.75" customHeight="1" x14ac:dyDescent="0.3">
      <c r="A5" s="65" t="s">
        <v>774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8">
        <f>CommodityCo!M9</f>
        <v>12</v>
      </c>
    </row>
    <row r="6" spans="1:13" ht="15" customHeight="1" x14ac:dyDescent="0.3">
      <c r="A6" s="24" t="s">
        <v>775</v>
      </c>
      <c r="B6" s="25" t="s">
        <v>776</v>
      </c>
      <c r="C6" s="27">
        <v>60</v>
      </c>
      <c r="D6" s="26">
        <f t="shared" ref="D6:M6" si="0">C6*1.03</f>
        <v>61.800000000000004</v>
      </c>
      <c r="E6" s="26">
        <f t="shared" si="0"/>
        <v>63.654000000000003</v>
      </c>
      <c r="F6" s="26">
        <f t="shared" si="0"/>
        <v>65.56362</v>
      </c>
      <c r="G6" s="26">
        <f t="shared" si="0"/>
        <v>67.530528599999997</v>
      </c>
      <c r="H6" s="26">
        <f t="shared" si="0"/>
        <v>69.556444458000001</v>
      </c>
      <c r="I6" s="26">
        <f t="shared" si="0"/>
        <v>71.643137791740003</v>
      </c>
      <c r="J6" s="26">
        <f t="shared" si="0"/>
        <v>73.79243192549221</v>
      </c>
      <c r="K6" s="26">
        <f t="shared" si="0"/>
        <v>76.006204883256984</v>
      </c>
      <c r="L6" s="26">
        <f t="shared" si="0"/>
        <v>78.286391029754697</v>
      </c>
      <c r="M6" s="26">
        <f t="shared" si="0"/>
        <v>80.634982760647333</v>
      </c>
    </row>
    <row r="7" spans="1:13" ht="21.75" customHeight="1" x14ac:dyDescent="0.3">
      <c r="A7" s="24" t="s">
        <v>777</v>
      </c>
      <c r="B7" s="29"/>
      <c r="C7" s="26">
        <f>ASSUMPTIONS!C31</f>
        <v>25</v>
      </c>
      <c r="D7" s="26">
        <f t="shared" ref="D7:M7" si="1">C7*1.02</f>
        <v>25.5</v>
      </c>
      <c r="E7" s="26">
        <f t="shared" si="1"/>
        <v>26.01</v>
      </c>
      <c r="F7" s="26">
        <f t="shared" si="1"/>
        <v>26.530200000000001</v>
      </c>
      <c r="G7" s="26">
        <f t="shared" si="1"/>
        <v>27.060804000000001</v>
      </c>
      <c r="H7" s="26">
        <f t="shared" si="1"/>
        <v>27.602020080000003</v>
      </c>
      <c r="I7" s="26">
        <f t="shared" si="1"/>
        <v>28.154060481600002</v>
      </c>
      <c r="J7" s="26">
        <f t="shared" si="1"/>
        <v>28.717141691232001</v>
      </c>
      <c r="K7" s="26">
        <f t="shared" si="1"/>
        <v>29.291484525056642</v>
      </c>
      <c r="L7" s="26">
        <f t="shared" si="1"/>
        <v>29.877314215557774</v>
      </c>
      <c r="M7" s="26">
        <f t="shared" si="1"/>
        <v>30.474860499868932</v>
      </c>
    </row>
    <row r="8" spans="1:13" ht="15" customHeight="1" x14ac:dyDescent="0.3">
      <c r="A8" s="24" t="s">
        <v>650</v>
      </c>
      <c r="B8" s="25" t="s">
        <v>778</v>
      </c>
      <c r="C8" s="27">
        <v>40</v>
      </c>
      <c r="D8" s="26">
        <f t="shared" ref="D8:M8" si="2">C8*1.01</f>
        <v>40.4</v>
      </c>
      <c r="E8" s="26">
        <f t="shared" si="2"/>
        <v>40.804000000000002</v>
      </c>
      <c r="F8" s="26">
        <f t="shared" si="2"/>
        <v>41.212040000000002</v>
      </c>
      <c r="G8" s="26">
        <f t="shared" si="2"/>
        <v>41.624160400000001</v>
      </c>
      <c r="H8" s="26">
        <f t="shared" si="2"/>
        <v>42.040402004000001</v>
      </c>
      <c r="I8" s="26">
        <f t="shared" si="2"/>
        <v>42.460806024040004</v>
      </c>
      <c r="J8" s="26">
        <f t="shared" si="2"/>
        <v>42.885414084280406</v>
      </c>
      <c r="K8" s="26">
        <f t="shared" si="2"/>
        <v>43.314268225123207</v>
      </c>
      <c r="L8" s="26">
        <f t="shared" si="2"/>
        <v>43.747410907374437</v>
      </c>
      <c r="M8" s="26">
        <f t="shared" si="2"/>
        <v>44.184885016448185</v>
      </c>
    </row>
    <row r="9" spans="1:13" ht="15" customHeight="1" x14ac:dyDescent="0.3">
      <c r="A9" s="30" t="s">
        <v>409</v>
      </c>
      <c r="B9" s="29"/>
      <c r="C9" s="28">
        <f t="shared" ref="C9:M9" si="3">SUM(C4:C8)</f>
        <v>205</v>
      </c>
      <c r="D9" s="28">
        <f t="shared" si="3"/>
        <v>232.255</v>
      </c>
      <c r="E9" s="28">
        <f t="shared" si="3"/>
        <v>276.41830000000004</v>
      </c>
      <c r="F9" s="28">
        <f t="shared" si="3"/>
        <v>330.21333800000002</v>
      </c>
      <c r="G9" s="28">
        <f t="shared" si="3"/>
        <v>378.38549008000007</v>
      </c>
      <c r="H9" s="28">
        <f t="shared" si="3"/>
        <v>444.25900187880001</v>
      </c>
      <c r="I9" s="28">
        <f t="shared" si="3"/>
        <v>580.12661412472414</v>
      </c>
      <c r="J9" s="28">
        <f t="shared" si="3"/>
        <v>719.04208263846044</v>
      </c>
      <c r="K9" s="28">
        <f t="shared" si="3"/>
        <v>902.59779015513539</v>
      </c>
      <c r="L9" s="28">
        <f t="shared" si="3"/>
        <v>1080.7247979850995</v>
      </c>
      <c r="M9" s="28">
        <f t="shared" si="3"/>
        <v>1189.8770721031897</v>
      </c>
    </row>
    <row r="10" spans="1:13" ht="15" customHeight="1" x14ac:dyDescent="0.3">
      <c r="A10" s="25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59"/>
    </row>
    <row r="11" spans="1:13" ht="23.25" customHeight="1" x14ac:dyDescent="0.3">
      <c r="A11" s="8" t="s">
        <v>410</v>
      </c>
    </row>
    <row r="12" spans="1:13" ht="34.5" customHeight="1" x14ac:dyDescent="0.3">
      <c r="A12" s="31" t="s">
        <v>779</v>
      </c>
      <c r="B12" s="32" t="s">
        <v>780</v>
      </c>
      <c r="C12" s="69">
        <f>JapanCo!C5</f>
        <v>40</v>
      </c>
      <c r="D12" s="69">
        <f>JapanCo!D5</f>
        <v>57.954999999999998</v>
      </c>
      <c r="E12" s="69">
        <f>JapanCo!E5</f>
        <v>91.204999999999998</v>
      </c>
      <c r="F12" s="69">
        <f>JapanCo!F5</f>
        <v>131.94499999999999</v>
      </c>
      <c r="G12" s="69">
        <f>JapanCo!G5</f>
        <v>168.40100000000001</v>
      </c>
      <c r="H12" s="69">
        <f>JapanCo!H5</f>
        <v>212.99100000000001</v>
      </c>
      <c r="I12" s="69">
        <f>JapanCo!I5</f>
        <v>287.83500000000004</v>
      </c>
      <c r="J12" s="69">
        <f>JapanCo!J5</f>
        <v>324.58500000000004</v>
      </c>
      <c r="K12" s="69">
        <f>JapanCo!K5</f>
        <v>398.83500000000004</v>
      </c>
      <c r="L12" s="69">
        <f>JapanCo!L5</f>
        <v>481.99500000000006</v>
      </c>
      <c r="M12" s="69">
        <f>JapanCo!M5</f>
        <v>547.33500000000004</v>
      </c>
    </row>
    <row r="13" spans="1:13" ht="15" customHeight="1" x14ac:dyDescent="0.3">
      <c r="A13" s="31" t="s">
        <v>781</v>
      </c>
      <c r="B13" s="32" t="s">
        <v>782</v>
      </c>
      <c r="C13" s="69">
        <f>CommodityCo!C4</f>
        <v>45</v>
      </c>
      <c r="D13" s="69">
        <f>CommodityCo!D4</f>
        <v>46.800000000000004</v>
      </c>
      <c r="E13" s="69">
        <f>CommodityCo!E4</f>
        <v>48.672000000000004</v>
      </c>
      <c r="F13" s="69">
        <f>CommodityCo!F4</f>
        <v>50.132160000000006</v>
      </c>
      <c r="G13" s="69">
        <f>CommodityCo!G4</f>
        <v>47.124230400000002</v>
      </c>
      <c r="H13" s="69">
        <f>CommodityCo!H4</f>
        <v>50.894168832000005</v>
      </c>
      <c r="I13" s="69">
        <f>CommodityCo!I4</f>
        <v>53.947818961920007</v>
      </c>
      <c r="J13" s="69">
        <f>CommodityCo!J4</f>
        <v>56.645209910016007</v>
      </c>
      <c r="K13" s="69">
        <f>CommodityCo!K4</f>
        <v>59.477470405516812</v>
      </c>
      <c r="L13" s="69">
        <f>CommodityCo!L4</f>
        <v>60.667019813627149</v>
      </c>
      <c r="M13" s="69">
        <f>CommodityCo!M4</f>
        <v>33.366860897494938</v>
      </c>
    </row>
    <row r="14" spans="1:13" ht="15" customHeight="1" x14ac:dyDescent="0.3">
      <c r="A14" s="65" t="s">
        <v>783</v>
      </c>
      <c r="C14" s="67">
        <v>0</v>
      </c>
      <c r="D14" s="67">
        <v>0</v>
      </c>
      <c r="E14" s="67">
        <v>0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8">
        <f>CommodityCo!M9</f>
        <v>12</v>
      </c>
    </row>
    <row r="15" spans="1:13" ht="15" customHeight="1" x14ac:dyDescent="0.3">
      <c r="A15" s="31" t="s">
        <v>614</v>
      </c>
      <c r="B15" s="34"/>
      <c r="C15" s="35">
        <v>100</v>
      </c>
      <c r="D15" s="33">
        <f t="shared" ref="D15:M15" si="4">C13*1.02</f>
        <v>45.9</v>
      </c>
      <c r="E15" s="33">
        <f t="shared" si="4"/>
        <v>47.736000000000004</v>
      </c>
      <c r="F15" s="33">
        <f t="shared" si="4"/>
        <v>49.645440000000008</v>
      </c>
      <c r="G15" s="33">
        <f t="shared" si="4"/>
        <v>51.134803200000007</v>
      </c>
      <c r="H15" s="33">
        <f t="shared" si="4"/>
        <v>48.066715008000003</v>
      </c>
      <c r="I15" s="33">
        <f t="shared" si="4"/>
        <v>51.912052208640006</v>
      </c>
      <c r="J15" s="33">
        <f t="shared" si="4"/>
        <v>55.026775341158405</v>
      </c>
      <c r="K15" s="33">
        <f t="shared" si="4"/>
        <v>57.778114108216329</v>
      </c>
      <c r="L15" s="33">
        <f t="shared" si="4"/>
        <v>60.667019813627149</v>
      </c>
      <c r="M15" s="33">
        <f t="shared" si="4"/>
        <v>61.880360209899692</v>
      </c>
    </row>
    <row r="16" spans="1:13" ht="15" customHeight="1" x14ac:dyDescent="0.3">
      <c r="A16" s="31" t="s">
        <v>784</v>
      </c>
      <c r="B16" s="34"/>
      <c r="C16" s="35">
        <v>40</v>
      </c>
      <c r="D16" s="33">
        <f t="shared" ref="D16:M16" si="5">C14*1.01</f>
        <v>0</v>
      </c>
      <c r="E16" s="33">
        <f t="shared" si="5"/>
        <v>0</v>
      </c>
      <c r="F16" s="33">
        <f t="shared" si="5"/>
        <v>0</v>
      </c>
      <c r="G16" s="33">
        <f t="shared" si="5"/>
        <v>0</v>
      </c>
      <c r="H16" s="33">
        <f t="shared" si="5"/>
        <v>0</v>
      </c>
      <c r="I16" s="33">
        <f t="shared" si="5"/>
        <v>0</v>
      </c>
      <c r="J16" s="33">
        <f t="shared" si="5"/>
        <v>0</v>
      </c>
      <c r="K16" s="33">
        <f t="shared" si="5"/>
        <v>0</v>
      </c>
      <c r="L16" s="33">
        <f t="shared" si="5"/>
        <v>0</v>
      </c>
      <c r="M16" s="33">
        <f t="shared" si="5"/>
        <v>0</v>
      </c>
    </row>
    <row r="17" spans="1:13" ht="15" customHeight="1" x14ac:dyDescent="0.3">
      <c r="A17" s="282" t="s">
        <v>418</v>
      </c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</row>
    <row r="18" spans="1:13" ht="32.25" customHeight="1" x14ac:dyDescent="0.3"/>
    <row r="19" spans="1:13" ht="32.25" customHeight="1" x14ac:dyDescent="0.3">
      <c r="A19" s="40" t="s">
        <v>424</v>
      </c>
    </row>
    <row r="20" spans="1:13" ht="23.25" customHeight="1" x14ac:dyDescent="0.3">
      <c r="A20" s="41" t="s">
        <v>785</v>
      </c>
      <c r="B20" s="42" t="s">
        <v>786</v>
      </c>
      <c r="C20" s="70">
        <f t="shared" ref="C20:M20" si="6">IF(C4=0,"-",(C11+C12)/C4)</f>
        <v>0.5</v>
      </c>
      <c r="D20" s="70">
        <f t="shared" si="6"/>
        <v>0.55430156377026452</v>
      </c>
      <c r="E20" s="70">
        <f t="shared" si="6"/>
        <v>0.62490450516374396</v>
      </c>
      <c r="F20" s="70">
        <f t="shared" si="6"/>
        <v>0.67008628285818572</v>
      </c>
      <c r="G20" s="70">
        <f t="shared" si="6"/>
        <v>0.69538341673419324</v>
      </c>
      <c r="H20" s="70">
        <f t="shared" si="6"/>
        <v>0.69819348819487148</v>
      </c>
      <c r="I20" s="70">
        <f t="shared" si="6"/>
        <v>0.65735472591537492</v>
      </c>
      <c r="J20" s="70">
        <f t="shared" si="6"/>
        <v>0.56582697422252137</v>
      </c>
      <c r="K20" s="70">
        <f t="shared" si="6"/>
        <v>0.52896882513839827</v>
      </c>
      <c r="L20" s="70">
        <f t="shared" si="6"/>
        <v>0.51893615418013095</v>
      </c>
      <c r="M20" s="70">
        <f t="shared" si="6"/>
        <v>0.5352478490407151</v>
      </c>
    </row>
    <row r="21" spans="1:13" ht="32.25" customHeight="1" x14ac:dyDescent="0.3">
      <c r="A21" s="41" t="s">
        <v>618</v>
      </c>
      <c r="B21" s="42" t="s">
        <v>787</v>
      </c>
      <c r="C21" s="44">
        <f t="shared" ref="C21:M21" si="7">C9*0.08/(C9*1.05)</f>
        <v>7.6190476190476183E-2</v>
      </c>
      <c r="D21" s="44">
        <f t="shared" si="7"/>
        <v>7.6190476190476197E-2</v>
      </c>
      <c r="E21" s="44">
        <f t="shared" si="7"/>
        <v>7.6190476190476183E-2</v>
      </c>
      <c r="F21" s="44">
        <f t="shared" si="7"/>
        <v>7.6190476190476197E-2</v>
      </c>
      <c r="G21" s="44">
        <f t="shared" si="7"/>
        <v>7.6190476190476183E-2</v>
      </c>
      <c r="H21" s="44">
        <f t="shared" si="7"/>
        <v>7.6190476190476197E-2</v>
      </c>
      <c r="I21" s="44">
        <f t="shared" si="7"/>
        <v>7.6190476190476197E-2</v>
      </c>
      <c r="J21" s="44">
        <f t="shared" si="7"/>
        <v>7.6190476190476183E-2</v>
      </c>
      <c r="K21" s="44">
        <f t="shared" si="7"/>
        <v>7.6190476190476183E-2</v>
      </c>
      <c r="L21" s="44">
        <f t="shared" si="7"/>
        <v>7.6190476190476197E-2</v>
      </c>
      <c r="M21" s="44">
        <f t="shared" si="7"/>
        <v>7.6190476190476183E-2</v>
      </c>
    </row>
    <row r="22" spans="1:13" ht="23.25" customHeight="1" x14ac:dyDescent="0.3">
      <c r="A22" s="41" t="s">
        <v>788</v>
      </c>
      <c r="B22" s="63"/>
      <c r="C22" s="64" t="str">
        <f>IF(C21&lt;ASSUMPTIONS!C34,"YES","NO")</f>
        <v>NO</v>
      </c>
      <c r="D22" s="64" t="str">
        <f>IF(D21&lt;ASSUMPTIONS!D34,"YES","NO")</f>
        <v>NO</v>
      </c>
      <c r="E22" s="64" t="str">
        <f>IF(E21&lt;ASSUMPTIONS!E34,"YES","NO")</f>
        <v>NO</v>
      </c>
      <c r="F22" s="64" t="str">
        <f>IF(F21&lt;ASSUMPTIONS!F34,"YES","NO")</f>
        <v>NO</v>
      </c>
      <c r="G22" s="64" t="str">
        <f>IF(G21&lt;ASSUMPTIONS!G34,"YES","NO")</f>
        <v>NO</v>
      </c>
      <c r="H22" s="64" t="str">
        <f>IF(H21&lt;ASSUMPTIONS!H34,"YES","NO")</f>
        <v>NO</v>
      </c>
      <c r="I22" s="64" t="str">
        <f>IF(I21&lt;ASSUMPTIONS!I34,"YES","NO")</f>
        <v>NO</v>
      </c>
      <c r="J22" s="64" t="str">
        <f>IF(J21&lt;ASSUMPTIONS!J34,"YES","NO")</f>
        <v>NO</v>
      </c>
      <c r="K22" s="64" t="str">
        <f>IF(K21&lt;ASSUMPTIONS!K34,"YES","NO")</f>
        <v>NO</v>
      </c>
      <c r="L22" s="64" t="str">
        <f>IF(L21&lt;ASSUMPTIONS!L34,"YES","NO")</f>
        <v>NO</v>
      </c>
      <c r="M22" s="64" t="str">
        <f>IF(M21&lt;ASSUMPTIONS!M34,"YES","NO")</f>
        <v>NO</v>
      </c>
    </row>
    <row r="23" spans="1:13" ht="15" customHeight="1" x14ac:dyDescent="0.3">
      <c r="A23" s="81" t="s">
        <v>789</v>
      </c>
      <c r="C23" s="82">
        <f t="shared" ref="C23:M23" si="8">IF(C4=0,"-",(C11+C12+C13)/C4)</f>
        <v>1.0625</v>
      </c>
      <c r="D23" s="82">
        <f t="shared" si="8"/>
        <v>1.0019128688250203</v>
      </c>
      <c r="E23" s="82">
        <f t="shared" si="8"/>
        <v>0.95838788957610899</v>
      </c>
      <c r="F23" s="82">
        <f t="shared" si="8"/>
        <v>0.92468382536492577</v>
      </c>
      <c r="G23" s="82">
        <f t="shared" si="8"/>
        <v>0.88997494734577698</v>
      </c>
      <c r="H23" s="82">
        <f t="shared" si="8"/>
        <v>0.86502672183193974</v>
      </c>
      <c r="I23" s="82">
        <f t="shared" si="8"/>
        <v>0.78056022124236846</v>
      </c>
      <c r="J23" s="82">
        <f t="shared" si="8"/>
        <v>0.66457271948981311</v>
      </c>
      <c r="K23" s="82">
        <f t="shared" si="8"/>
        <v>0.60785289409576171</v>
      </c>
      <c r="L23" s="82">
        <f t="shared" si="8"/>
        <v>0.58425282748100238</v>
      </c>
      <c r="M23" s="82">
        <f t="shared" si="8"/>
        <v>0.56787784808083663</v>
      </c>
    </row>
    <row r="25" spans="1:13" x14ac:dyDescent="0.3">
      <c r="A25" s="280" t="s">
        <v>790</v>
      </c>
      <c r="B25" s="259"/>
      <c r="C25" s="259"/>
      <c r="D25" s="259"/>
      <c r="E25" s="259"/>
      <c r="F25" s="259"/>
      <c r="G25" s="259"/>
      <c r="H25" s="259"/>
      <c r="I25" s="259"/>
      <c r="J25" s="259"/>
      <c r="K25" s="259"/>
      <c r="L25" s="259"/>
      <c r="M25" s="259"/>
    </row>
    <row r="26" spans="1:13" x14ac:dyDescent="0.3">
      <c r="A26" s="230" t="s">
        <v>791</v>
      </c>
      <c r="B26" s="231" t="s">
        <v>792</v>
      </c>
      <c r="C26" s="225">
        <f>IF(FinServCo!C17&gt;FinServCo!C16,ASSUMPTIONS!C101*GlobalBankCo!C9,0)</f>
        <v>0</v>
      </c>
      <c r="D26" s="225">
        <f>IF(FinServCo!D17&gt;FinServCo!D16,ASSUMPTIONS!D101*GlobalBankCo!D9,0)</f>
        <v>0</v>
      </c>
      <c r="E26" s="225">
        <f>IF(FinServCo!E17&gt;FinServCo!E16,ASSUMPTIONS!E101*GlobalBankCo!E9,0)</f>
        <v>0</v>
      </c>
      <c r="F26" s="225">
        <f>IF(FinServCo!F17&gt;FinServCo!F16,ASSUMPTIONS!F101*GlobalBankCo!F9,0)</f>
        <v>0</v>
      </c>
      <c r="G26" s="225">
        <f>IF(FinServCo!G17&gt;FinServCo!G16,ASSUMPTIONS!G101*GlobalBankCo!G9,0)</f>
        <v>0</v>
      </c>
      <c r="H26" s="225">
        <f>IF(FinServCo!H17&gt;FinServCo!H16,ASSUMPTIONS!H101*GlobalBankCo!H9,0)</f>
        <v>0</v>
      </c>
      <c r="I26" s="225">
        <f>IF(FinServCo!I17&gt;FinServCo!I16,ASSUMPTIONS!I101*GlobalBankCo!I9,0)</f>
        <v>0</v>
      </c>
      <c r="J26" s="225">
        <f>IF(FinServCo!J17&gt;FinServCo!J16,ASSUMPTIONS!J101*GlobalBankCo!J9,0)</f>
        <v>0</v>
      </c>
      <c r="K26" s="225">
        <f>IF(FinServCo!K17&gt;FinServCo!K16,ASSUMPTIONS!K101*GlobalBankCo!K9,0)</f>
        <v>0</v>
      </c>
      <c r="L26" s="225">
        <f>IF(FinServCo!L17&gt;FinServCo!L16,ASSUMPTIONS!L101*GlobalBankCo!L9,0)</f>
        <v>5.4036239899254976</v>
      </c>
      <c r="M26" s="225">
        <f>IF(FinServCo!M17&gt;FinServCo!M16,ASSUMPTIONS!M101*GlobalBankCo!M9,0)</f>
        <v>17.848156081547845</v>
      </c>
    </row>
    <row r="27" spans="1:13" x14ac:dyDescent="0.3">
      <c r="A27" s="168" t="s">
        <v>793</v>
      </c>
      <c r="B27" s="208" t="s">
        <v>794</v>
      </c>
      <c r="C27" s="187">
        <f>C26*HedgeCo!C17</f>
        <v>0</v>
      </c>
      <c r="D27" s="187">
        <f>D26*HedgeCo!D17</f>
        <v>0</v>
      </c>
      <c r="E27" s="187">
        <f>E26*HedgeCo!E17</f>
        <v>0</v>
      </c>
      <c r="F27" s="187">
        <f>F26*HedgeCo!F17</f>
        <v>0</v>
      </c>
      <c r="G27" s="187">
        <f>G26*HedgeCo!G17</f>
        <v>0</v>
      </c>
      <c r="H27" s="187">
        <f>H26*HedgeCo!H17</f>
        <v>0</v>
      </c>
      <c r="I27" s="187">
        <f>I26*HedgeCo!I17</f>
        <v>0</v>
      </c>
      <c r="J27" s="187">
        <f>J26*HedgeCo!J17</f>
        <v>0</v>
      </c>
      <c r="K27" s="187">
        <f>K26*HedgeCo!K17</f>
        <v>0</v>
      </c>
      <c r="L27" s="187">
        <f>L26*HedgeCo!L17</f>
        <v>1154.3607754637503</v>
      </c>
      <c r="M27" s="187">
        <f>M26*HedgeCo!M17</f>
        <v>4219.1959214323206</v>
      </c>
    </row>
    <row r="29" spans="1:13" x14ac:dyDescent="0.3">
      <c r="A29" s="261" t="s">
        <v>795</v>
      </c>
      <c r="B29" s="259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</row>
    <row r="30" spans="1:13" x14ac:dyDescent="0.3">
      <c r="A30" s="172" t="s">
        <v>796</v>
      </c>
      <c r="B30" s="195" t="s">
        <v>797</v>
      </c>
      <c r="C30" s="217">
        <f>JapanCo!C25</f>
        <v>650</v>
      </c>
      <c r="D30" s="217">
        <f>JapanCo!D25</f>
        <v>650</v>
      </c>
      <c r="E30" s="217">
        <f>JapanCo!E25</f>
        <v>657</v>
      </c>
      <c r="F30" s="217">
        <f>JapanCo!F25</f>
        <v>664</v>
      </c>
      <c r="G30" s="217">
        <f>JapanCo!G25</f>
        <v>671</v>
      </c>
      <c r="H30" s="217">
        <f>JapanCo!H25</f>
        <v>678</v>
      </c>
      <c r="I30" s="217">
        <f>JapanCo!I25</f>
        <v>685</v>
      </c>
      <c r="J30" s="217">
        <f>JapanCo!J25</f>
        <v>692</v>
      </c>
      <c r="K30" s="217">
        <f>JapanCo!K25</f>
        <v>860</v>
      </c>
      <c r="L30" s="217">
        <f>JapanCo!L25</f>
        <v>708</v>
      </c>
      <c r="M30" s="217">
        <f>JapanCo!M25</f>
        <v>668</v>
      </c>
    </row>
    <row r="31" spans="1:13" x14ac:dyDescent="0.3">
      <c r="A31" s="186" t="s">
        <v>798</v>
      </c>
      <c r="B31" s="231" t="s">
        <v>799</v>
      </c>
      <c r="C31" s="249">
        <f>CommodityCo!C28</f>
        <v>13</v>
      </c>
      <c r="D31" s="249">
        <f>CommodityCo!D28</f>
        <v>13.839999999999989</v>
      </c>
      <c r="E31" s="249">
        <f>CommodityCo!E28</f>
        <v>14.711200000000005</v>
      </c>
      <c r="F31" s="249">
        <f>CommodityCo!F28</f>
        <v>15.614776000000006</v>
      </c>
      <c r="G31" s="249">
        <f>CommodityCo!G28</f>
        <v>16.551948879999998</v>
      </c>
      <c r="H31" s="249">
        <f>CommodityCo!H28</f>
        <v>17.523986130400004</v>
      </c>
      <c r="I31" s="249">
        <f>CommodityCo!I28</f>
        <v>18.532203649671999</v>
      </c>
      <c r="J31" s="249">
        <f>CommodityCo!J28</f>
        <v>19.577967611936572</v>
      </c>
      <c r="K31" s="249">
        <f>CommodityCo!K28</f>
        <v>80.662696407180036</v>
      </c>
      <c r="L31" s="249">
        <f>CommodityCo!L28</f>
        <v>28.987862656956231</v>
      </c>
      <c r="M31" s="249">
        <f>CommodityCo!M28</f>
        <v>18.154995308528129</v>
      </c>
    </row>
    <row r="32" spans="1:13" x14ac:dyDescent="0.3">
      <c r="A32" s="204" t="s">
        <v>800</v>
      </c>
      <c r="B32" s="202" t="s">
        <v>801</v>
      </c>
      <c r="C32" s="245">
        <f>JapanCo!C26-CommodityCo!C28</f>
        <v>242.20000000000002</v>
      </c>
      <c r="D32" s="245">
        <f>JapanCo!D26-CommodityCo!D28</f>
        <v>241.36</v>
      </c>
      <c r="E32" s="245">
        <f>JapanCo!E26-CommodityCo!E28</f>
        <v>243.28879999999998</v>
      </c>
      <c r="F32" s="245">
        <f>JapanCo!F26-CommodityCo!F28</f>
        <v>245.18522400000001</v>
      </c>
      <c r="G32" s="245">
        <f>JapanCo!G26-CommodityCo!G28</f>
        <v>247.04805112000003</v>
      </c>
      <c r="H32" s="245">
        <f>JapanCo!H26-CommodityCo!H28</f>
        <v>248.87601386960003</v>
      </c>
      <c r="I32" s="245">
        <f>JapanCo!I26-CommodityCo!I28</f>
        <v>250.66779635032799</v>
      </c>
      <c r="J32" s="245">
        <f>JapanCo!J26-CommodityCo!J28</f>
        <v>252.42203238806343</v>
      </c>
      <c r="K32" s="245">
        <f>JapanCo!K26-CommodityCo!K28</f>
        <v>258.53730359282002</v>
      </c>
      <c r="L32" s="245">
        <f>JapanCo!L26-CommodityCo!L28</f>
        <v>249.41213734304381</v>
      </c>
      <c r="M32" s="245">
        <f>JapanCo!M26-CommodityCo!M28</f>
        <v>244.24500469147191</v>
      </c>
    </row>
    <row r="33" spans="1:13" x14ac:dyDescent="0.3">
      <c r="A33" s="233" t="s">
        <v>802</v>
      </c>
      <c r="B33" s="231" t="s">
        <v>803</v>
      </c>
      <c r="C33" s="187" t="str">
        <f t="shared" ref="C33:M33" si="9">IF(C32&gt;0,"EXPANDING — basis trade inflates","CONTRACTING — repo tightens")</f>
        <v>EXPANDING — basis trade inflates</v>
      </c>
      <c r="D33" s="187" t="str">
        <f t="shared" si="9"/>
        <v>EXPANDING — basis trade inflates</v>
      </c>
      <c r="E33" s="187" t="str">
        <f t="shared" si="9"/>
        <v>EXPANDING — basis trade inflates</v>
      </c>
      <c r="F33" s="187" t="str">
        <f t="shared" si="9"/>
        <v>EXPANDING — basis trade inflates</v>
      </c>
      <c r="G33" s="187" t="str">
        <f t="shared" si="9"/>
        <v>EXPANDING — basis trade inflates</v>
      </c>
      <c r="H33" s="187" t="str">
        <f t="shared" si="9"/>
        <v>EXPANDING — basis trade inflates</v>
      </c>
      <c r="I33" s="187" t="str">
        <f t="shared" si="9"/>
        <v>EXPANDING — basis trade inflates</v>
      </c>
      <c r="J33" s="187" t="str">
        <f t="shared" si="9"/>
        <v>EXPANDING — basis trade inflates</v>
      </c>
      <c r="K33" s="187" t="str">
        <f t="shared" si="9"/>
        <v>EXPANDING — basis trade inflates</v>
      </c>
      <c r="L33" s="187" t="str">
        <f t="shared" si="9"/>
        <v>EXPANDING — basis trade inflates</v>
      </c>
      <c r="M33" s="187" t="str">
        <f t="shared" si="9"/>
        <v>EXPANDING — basis trade inflates</v>
      </c>
    </row>
    <row r="34" spans="1:13" x14ac:dyDescent="0.3">
      <c r="A34" s="200" t="s">
        <v>804</v>
      </c>
      <c r="B34" s="202" t="s">
        <v>805</v>
      </c>
      <c r="C34" s="216">
        <v>0</v>
      </c>
      <c r="D34" s="216">
        <f>JapanCo!D25-JapanCo!C25</f>
        <v>0</v>
      </c>
      <c r="E34" s="216">
        <f>JapanCo!E25-JapanCo!D25</f>
        <v>7</v>
      </c>
      <c r="F34" s="216">
        <f>JapanCo!F25-JapanCo!E25</f>
        <v>7</v>
      </c>
      <c r="G34" s="216">
        <f>JapanCo!G25-JapanCo!F25</f>
        <v>7</v>
      </c>
      <c r="H34" s="216">
        <f>JapanCo!H25-JapanCo!G25</f>
        <v>7</v>
      </c>
      <c r="I34" s="216">
        <f>JapanCo!I25-JapanCo!H25</f>
        <v>7</v>
      </c>
      <c r="J34" s="216">
        <f>JapanCo!J25-JapanCo!I25</f>
        <v>7</v>
      </c>
      <c r="K34" s="216">
        <f>JapanCo!K25-JapanCo!J25</f>
        <v>168</v>
      </c>
      <c r="L34" s="216">
        <f>JapanCo!L25-JapanCo!K25</f>
        <v>-152</v>
      </c>
      <c r="M34" s="216">
        <f>JapanCo!M25-JapanCo!L25</f>
        <v>-40</v>
      </c>
    </row>
    <row r="35" spans="1:13" x14ac:dyDescent="0.3">
      <c r="A35" s="168" t="s">
        <v>806</v>
      </c>
      <c r="B35" s="208" t="s">
        <v>807</v>
      </c>
      <c r="C35" s="187">
        <v>0</v>
      </c>
      <c r="D35" s="187">
        <f>CommodityCo!D4-CommodityCo!C4</f>
        <v>1.8000000000000043</v>
      </c>
      <c r="E35" s="187">
        <f>CommodityCo!E4-CommodityCo!D4</f>
        <v>1.8719999999999999</v>
      </c>
      <c r="F35" s="187">
        <f>CommodityCo!F4-CommodityCo!E4</f>
        <v>1.4601600000000019</v>
      </c>
      <c r="G35" s="187">
        <f>CommodityCo!G4-CommodityCo!F4</f>
        <v>-3.0079296000000042</v>
      </c>
      <c r="H35" s="187">
        <f>CommodityCo!H4-CommodityCo!G4</f>
        <v>3.7699384320000036</v>
      </c>
      <c r="I35" s="187">
        <f>CommodityCo!I4-CommodityCo!H4</f>
        <v>3.0536501299200012</v>
      </c>
      <c r="J35" s="187">
        <f>CommodityCo!J4-CommodityCo!I4</f>
        <v>2.6973909480960003</v>
      </c>
      <c r="K35" s="187">
        <f>CommodityCo!K4-CommodityCo!J4</f>
        <v>2.8322604955008046</v>
      </c>
      <c r="L35" s="187">
        <f>CommodityCo!L4-CommodityCo!K4</f>
        <v>1.1895494081103379</v>
      </c>
      <c r="M35" s="187">
        <f>CommodityCo!M4-CommodityCo!L4</f>
        <v>-27.300158916132212</v>
      </c>
    </row>
    <row r="36" spans="1:13" x14ac:dyDescent="0.3">
      <c r="A36" s="200" t="s">
        <v>808</v>
      </c>
      <c r="B36" s="208" t="s">
        <v>809</v>
      </c>
      <c r="C36" s="216">
        <f t="shared" ref="C36:M36" si="10">C34+C35</f>
        <v>0</v>
      </c>
      <c r="D36" s="216">
        <f t="shared" si="10"/>
        <v>1.8000000000000043</v>
      </c>
      <c r="E36" s="216">
        <f t="shared" si="10"/>
        <v>8.8719999999999999</v>
      </c>
      <c r="F36" s="216">
        <f t="shared" si="10"/>
        <v>8.4601600000000019</v>
      </c>
      <c r="G36" s="216">
        <f t="shared" si="10"/>
        <v>3.9920703999999958</v>
      </c>
      <c r="H36" s="216">
        <f t="shared" si="10"/>
        <v>10.769938432000004</v>
      </c>
      <c r="I36" s="216">
        <f t="shared" si="10"/>
        <v>10.053650129920001</v>
      </c>
      <c r="J36" s="216">
        <f t="shared" si="10"/>
        <v>9.6973909480960003</v>
      </c>
      <c r="K36" s="216">
        <f t="shared" si="10"/>
        <v>170.8322604955008</v>
      </c>
      <c r="L36" s="216">
        <f t="shared" si="10"/>
        <v>-150.81045059188966</v>
      </c>
      <c r="M36" s="216">
        <f t="shared" si="10"/>
        <v>-67.300158916132204</v>
      </c>
    </row>
    <row r="37" spans="1:13" x14ac:dyDescent="0.3">
      <c r="A37" s="165" t="s">
        <v>810</v>
      </c>
      <c r="B37" s="208" t="s">
        <v>811</v>
      </c>
      <c r="C37" s="191" t="str">
        <f t="shared" ref="C37:M37" si="11">IF(C36&gt;0,"EXPANDING","CONTRACTING")</f>
        <v>CONTRACTING</v>
      </c>
      <c r="D37" s="191" t="str">
        <f t="shared" si="11"/>
        <v>EXPANDING</v>
      </c>
      <c r="E37" s="191" t="str">
        <f t="shared" si="11"/>
        <v>EXPANDING</v>
      </c>
      <c r="F37" s="191" t="str">
        <f t="shared" si="11"/>
        <v>EXPANDING</v>
      </c>
      <c r="G37" s="191" t="str">
        <f t="shared" si="11"/>
        <v>EXPANDING</v>
      </c>
      <c r="H37" s="191" t="str">
        <f t="shared" si="11"/>
        <v>EXPANDING</v>
      </c>
      <c r="I37" s="191" t="str">
        <f t="shared" si="11"/>
        <v>EXPANDING</v>
      </c>
      <c r="J37" s="191" t="str">
        <f t="shared" si="11"/>
        <v>EXPANDING</v>
      </c>
      <c r="K37" s="191" t="str">
        <f t="shared" si="11"/>
        <v>EXPANDING</v>
      </c>
      <c r="L37" s="191" t="str">
        <f t="shared" si="11"/>
        <v>CONTRACTING</v>
      </c>
      <c r="M37" s="191" t="str">
        <f t="shared" si="11"/>
        <v>CONTRACTING</v>
      </c>
    </row>
  </sheetData>
  <mergeCells count="6">
    <mergeCell ref="A1:M1"/>
    <mergeCell ref="A17:M17"/>
    <mergeCell ref="A3:M3"/>
    <mergeCell ref="A29:M29"/>
    <mergeCell ref="A25:M25"/>
    <mergeCell ref="A10:M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M17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52" customWidth="1"/>
    <col min="3" max="13" width="9" customWidth="1"/>
  </cols>
  <sheetData>
    <row r="1" spans="1:13" ht="21.75" customHeight="1" x14ac:dyDescent="0.3">
      <c r="A1" s="273" t="s">
        <v>812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ht="27.75" customHeight="1" x14ac:dyDescent="0.3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117</v>
      </c>
      <c r="M2" s="7" t="s">
        <v>118</v>
      </c>
    </row>
    <row r="3" spans="1:13" ht="15" customHeight="1" x14ac:dyDescent="0.3">
      <c r="A3" s="258" t="s">
        <v>813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</row>
    <row r="4" spans="1:13" ht="23.25" customHeight="1" x14ac:dyDescent="0.3">
      <c r="A4" s="284" t="s">
        <v>814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</row>
    <row r="5" spans="1:13" ht="34.5" customHeight="1" x14ac:dyDescent="0.3">
      <c r="A5" s="206" t="s">
        <v>815</v>
      </c>
      <c r="B5" s="25" t="s">
        <v>816</v>
      </c>
      <c r="C5" s="28">
        <f>GlobalBankCo!C4</f>
        <v>80</v>
      </c>
      <c r="D5" s="28">
        <f>GlobalBankCo!D4</f>
        <v>104.55499999999999</v>
      </c>
      <c r="E5" s="28">
        <f>GlobalBankCo!E4</f>
        <v>145.95030000000003</v>
      </c>
      <c r="F5" s="28">
        <f>GlobalBankCo!F4</f>
        <v>196.90747800000003</v>
      </c>
      <c r="G5" s="28">
        <f>GlobalBankCo!G4</f>
        <v>242.16999708000003</v>
      </c>
      <c r="H5" s="28">
        <f>GlobalBankCo!H4</f>
        <v>305.06013533680004</v>
      </c>
      <c r="I5" s="28">
        <f>GlobalBankCo!I4</f>
        <v>437.86860982734413</v>
      </c>
      <c r="J5" s="28">
        <f>GlobalBankCo!J4</f>
        <v>573.64709493745579</v>
      </c>
      <c r="K5" s="28">
        <f>GlobalBankCo!K4</f>
        <v>753.98583252169863</v>
      </c>
      <c r="L5" s="28">
        <f>GlobalBankCo!L4</f>
        <v>928.81368183241273</v>
      </c>
      <c r="M5" s="28">
        <f>GlobalBankCo!M4</f>
        <v>1022.5823438262253</v>
      </c>
    </row>
    <row r="6" spans="1:13" ht="15" customHeight="1" x14ac:dyDescent="0.3">
      <c r="A6" s="65" t="s">
        <v>817</v>
      </c>
      <c r="C6" s="67">
        <v>0</v>
      </c>
      <c r="D6" s="67">
        <v>0</v>
      </c>
      <c r="E6" s="67">
        <v>0</v>
      </c>
      <c r="F6" s="67">
        <v>0</v>
      </c>
      <c r="G6" s="67">
        <v>0</v>
      </c>
      <c r="H6" s="67">
        <v>0</v>
      </c>
      <c r="I6" s="67">
        <v>0</v>
      </c>
      <c r="J6" s="67">
        <v>0</v>
      </c>
      <c r="K6" s="67">
        <v>0</v>
      </c>
      <c r="L6" s="67">
        <v>0</v>
      </c>
      <c r="M6" s="68">
        <f>GlobalBankCo!M5</f>
        <v>12</v>
      </c>
    </row>
    <row r="7" spans="1:13" ht="15" customHeight="1" x14ac:dyDescent="0.3">
      <c r="A7" s="30" t="s">
        <v>818</v>
      </c>
      <c r="B7" s="29"/>
      <c r="C7" s="28">
        <f t="shared" ref="C7:M7" si="0">SUM(C5:C6)</f>
        <v>80</v>
      </c>
      <c r="D7" s="28">
        <f t="shared" si="0"/>
        <v>104.55499999999999</v>
      </c>
      <c r="E7" s="28">
        <f t="shared" si="0"/>
        <v>145.95030000000003</v>
      </c>
      <c r="F7" s="28">
        <f t="shared" si="0"/>
        <v>196.90747800000003</v>
      </c>
      <c r="G7" s="28">
        <f t="shared" si="0"/>
        <v>242.16999708000003</v>
      </c>
      <c r="H7" s="28">
        <f t="shared" si="0"/>
        <v>305.06013533680004</v>
      </c>
      <c r="I7" s="28">
        <f t="shared" si="0"/>
        <v>437.86860982734413</v>
      </c>
      <c r="J7" s="28">
        <f t="shared" si="0"/>
        <v>573.64709493745579</v>
      </c>
      <c r="K7" s="28">
        <f t="shared" si="0"/>
        <v>753.98583252169863</v>
      </c>
      <c r="L7" s="28">
        <f t="shared" si="0"/>
        <v>928.81368183241273</v>
      </c>
      <c r="M7" s="28">
        <f t="shared" si="0"/>
        <v>1034.5823438262253</v>
      </c>
    </row>
    <row r="8" spans="1:13" ht="15" customHeight="1" x14ac:dyDescent="0.3">
      <c r="A8" s="259"/>
      <c r="B8" s="259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</row>
    <row r="9" spans="1:13" ht="34.5" customHeight="1" x14ac:dyDescent="0.3">
      <c r="A9" s="8" t="s">
        <v>819</v>
      </c>
    </row>
    <row r="10" spans="1:13" ht="34.5" customHeight="1" x14ac:dyDescent="0.3">
      <c r="A10" s="31" t="s">
        <v>820</v>
      </c>
      <c r="B10" s="32" t="s">
        <v>821</v>
      </c>
      <c r="C10" s="69">
        <f>GlobalBankCo!C4</f>
        <v>80</v>
      </c>
      <c r="D10" s="69">
        <f>GlobalBankCo!D4</f>
        <v>104.55499999999999</v>
      </c>
      <c r="E10" s="69">
        <f>GlobalBankCo!E4</f>
        <v>145.95030000000003</v>
      </c>
      <c r="F10" s="69">
        <f>GlobalBankCo!F4</f>
        <v>196.90747800000003</v>
      </c>
      <c r="G10" s="69">
        <f>GlobalBankCo!G4</f>
        <v>242.16999708000003</v>
      </c>
      <c r="H10" s="69">
        <f>GlobalBankCo!H4</f>
        <v>305.06013533680004</v>
      </c>
      <c r="I10" s="69">
        <f>GlobalBankCo!I4</f>
        <v>437.86860982734413</v>
      </c>
      <c r="J10" s="69">
        <f>GlobalBankCo!J4</f>
        <v>573.64709493745579</v>
      </c>
      <c r="K10" s="69">
        <f>GlobalBankCo!K4</f>
        <v>753.98583252169863</v>
      </c>
      <c r="L10" s="69">
        <f>GlobalBankCo!L4</f>
        <v>928.81368183241273</v>
      </c>
      <c r="M10" s="69">
        <f>GlobalBankCo!M4</f>
        <v>1022.5823438262253</v>
      </c>
    </row>
    <row r="11" spans="1:13" ht="15" customHeight="1" x14ac:dyDescent="0.3">
      <c r="A11" s="259"/>
      <c r="B11" s="259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</row>
    <row r="12" spans="1:13" ht="32.25" customHeight="1" x14ac:dyDescent="0.3">
      <c r="A12" s="83" t="s">
        <v>822</v>
      </c>
    </row>
    <row r="13" spans="1:13" ht="32.25" customHeight="1" x14ac:dyDescent="0.3">
      <c r="A13" s="84" t="s">
        <v>823</v>
      </c>
      <c r="B13" s="85" t="s">
        <v>824</v>
      </c>
      <c r="C13" s="86">
        <f>GlobalBankCo!C4*ASSUMPTIONS!C39</f>
        <v>61.68</v>
      </c>
      <c r="D13" s="86">
        <f>GlobalBankCo!D4*ASSUMPTIONS!D39</f>
        <v>31.366499999999995</v>
      </c>
      <c r="E13" s="86">
        <f>GlobalBankCo!E4*ASSUMPTIONS!E39</f>
        <v>51.082605000000008</v>
      </c>
      <c r="F13" s="86">
        <f>GlobalBankCo!F4*ASSUMPTIONS!F39</f>
        <v>78.762991200000016</v>
      </c>
      <c r="G13" s="86">
        <f>GlobalBankCo!G4*ASSUMPTIONS!G39</f>
        <v>121.08499854000002</v>
      </c>
      <c r="H13" s="86">
        <f>GlobalBankCo!H4*ASSUMPTIONS!H39</f>
        <v>167.78307443524002</v>
      </c>
      <c r="I13" s="86">
        <f>GlobalBankCo!I4*ASSUMPTIONS!I39</f>
        <v>306.50802687914086</v>
      </c>
      <c r="J13" s="86">
        <f>GlobalBankCo!J4*ASSUMPTIONS!J39</f>
        <v>413.02590835496818</v>
      </c>
      <c r="K13" s="86">
        <f>GlobalBankCo!K4*ASSUMPTIONS!K39</f>
        <v>565.48937439127394</v>
      </c>
      <c r="L13" s="86">
        <f>GlobalBankCo!L4*ASSUMPTIONS!L39</f>
        <v>705.89839819263364</v>
      </c>
      <c r="M13" s="86">
        <f>GlobalBankCo!M4*ASSUMPTIONS!M39</f>
        <v>777.16258130793119</v>
      </c>
    </row>
    <row r="14" spans="1:13" ht="15" customHeight="1" x14ac:dyDescent="0.3">
      <c r="A14" s="259"/>
      <c r="B14" s="259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</row>
    <row r="15" spans="1:13" ht="23.25" customHeight="1" x14ac:dyDescent="0.3">
      <c r="A15" s="40" t="s">
        <v>424</v>
      </c>
    </row>
    <row r="16" spans="1:13" ht="23.25" customHeight="1" x14ac:dyDescent="0.3">
      <c r="A16" s="41" t="s">
        <v>825</v>
      </c>
      <c r="B16" s="42" t="s">
        <v>826</v>
      </c>
      <c r="C16" s="87">
        <f>IF(GlobalBankCo!C4=0,"-",C5/GlobalBankCo!C4)</f>
        <v>1</v>
      </c>
      <c r="D16" s="87">
        <f>IF(GlobalBankCo!D4=0,"-",D5/GlobalBankCo!D4)</f>
        <v>1</v>
      </c>
      <c r="E16" s="87">
        <f>IF(GlobalBankCo!E4=0,"-",E5/GlobalBankCo!E4)</f>
        <v>1</v>
      </c>
      <c r="F16" s="87">
        <f>IF(GlobalBankCo!F4=0,"-",F5/GlobalBankCo!F4)</f>
        <v>1</v>
      </c>
      <c r="G16" s="87">
        <f>IF(GlobalBankCo!G4=0,"-",G5/GlobalBankCo!G4)</f>
        <v>1</v>
      </c>
      <c r="H16" s="87">
        <f>IF(GlobalBankCo!H4=0,"-",H5/GlobalBankCo!H4)</f>
        <v>1</v>
      </c>
      <c r="I16" s="87">
        <f>IF(GlobalBankCo!I4=0,"-",I5/GlobalBankCo!I4)</f>
        <v>1</v>
      </c>
      <c r="J16" s="87">
        <f>IF(GlobalBankCo!J4=0,"-",J5/GlobalBankCo!J4)</f>
        <v>1</v>
      </c>
      <c r="K16" s="87">
        <f>IF(GlobalBankCo!K4=0,"-",K5/GlobalBankCo!K4)</f>
        <v>1</v>
      </c>
      <c r="L16" s="87">
        <f>IF(GlobalBankCo!L4=0,"-",L5/GlobalBankCo!L4)</f>
        <v>1</v>
      </c>
      <c r="M16" s="87">
        <f>IF(GlobalBankCo!M4=0,"-",M5/GlobalBankCo!M4)</f>
        <v>1</v>
      </c>
    </row>
    <row r="17" spans="1:13" ht="23.25" customHeight="1" x14ac:dyDescent="0.3">
      <c r="A17" s="41" t="s">
        <v>827</v>
      </c>
      <c r="B17" s="42" t="s">
        <v>828</v>
      </c>
      <c r="C17" s="88">
        <f>ASSUMPTIONS!C39</f>
        <v>0.77100000000000002</v>
      </c>
      <c r="D17" s="88">
        <f>ASSUMPTIONS!D39</f>
        <v>0.3</v>
      </c>
      <c r="E17" s="88">
        <f>ASSUMPTIONS!E39</f>
        <v>0.35</v>
      </c>
      <c r="F17" s="88">
        <f>ASSUMPTIONS!F39</f>
        <v>0.4</v>
      </c>
      <c r="G17" s="88">
        <f>ASSUMPTIONS!G39</f>
        <v>0.5</v>
      </c>
      <c r="H17" s="88">
        <f>ASSUMPTIONS!H39</f>
        <v>0.55000000000000004</v>
      </c>
      <c r="I17" s="88">
        <f>ASSUMPTIONS!I39</f>
        <v>0.7</v>
      </c>
      <c r="J17" s="88">
        <f>ASSUMPTIONS!J39</f>
        <v>0.72</v>
      </c>
      <c r="K17" s="88">
        <f>ASSUMPTIONS!K39</f>
        <v>0.75</v>
      </c>
      <c r="L17" s="88">
        <f>ASSUMPTIONS!L39</f>
        <v>0.76</v>
      </c>
      <c r="M17" s="88">
        <f>ASSUMPTIONS!M39</f>
        <v>0.76</v>
      </c>
    </row>
  </sheetData>
  <mergeCells count="6">
    <mergeCell ref="A14:M14"/>
    <mergeCell ref="A1:M1"/>
    <mergeCell ref="A8:M8"/>
    <mergeCell ref="A4:M4"/>
    <mergeCell ref="A3:M3"/>
    <mergeCell ref="A11:M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M22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52" customWidth="1"/>
    <col min="3" max="13" width="9" customWidth="1"/>
  </cols>
  <sheetData>
    <row r="1" spans="1:13" ht="21.75" customHeight="1" x14ac:dyDescent="0.3">
      <c r="A1" s="273" t="s">
        <v>829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ht="27.75" customHeight="1" x14ac:dyDescent="0.3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117</v>
      </c>
      <c r="M2" s="7" t="s">
        <v>118</v>
      </c>
    </row>
    <row r="3" spans="1:13" ht="15" customHeight="1" x14ac:dyDescent="0.3">
      <c r="A3" s="258" t="s">
        <v>813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</row>
    <row r="4" spans="1:13" ht="21.75" customHeight="1" x14ac:dyDescent="0.3">
      <c r="A4" s="24" t="s">
        <v>830</v>
      </c>
      <c r="B4" s="25" t="s">
        <v>831</v>
      </c>
      <c r="C4" s="26">
        <f>RepoCo!C5</f>
        <v>80</v>
      </c>
      <c r="D4" s="26">
        <f>RepoCo!D5</f>
        <v>104.55499999999999</v>
      </c>
      <c r="E4" s="26">
        <f>RepoCo!E5</f>
        <v>145.95030000000003</v>
      </c>
      <c r="F4" s="26">
        <f>RepoCo!F5</f>
        <v>196.90747800000003</v>
      </c>
      <c r="G4" s="26">
        <f>RepoCo!G5</f>
        <v>242.16999708000003</v>
      </c>
      <c r="H4" s="26">
        <f>RepoCo!H5</f>
        <v>305.06013533680004</v>
      </c>
      <c r="I4" s="26">
        <f>RepoCo!I5</f>
        <v>437.86860982734413</v>
      </c>
      <c r="J4" s="26">
        <f>RepoCo!J5</f>
        <v>573.64709493745579</v>
      </c>
      <c r="K4" s="26">
        <f>RepoCo!K5</f>
        <v>753.98583252169863</v>
      </c>
      <c r="L4" s="26">
        <f>RepoCo!L5</f>
        <v>928.81368183241273</v>
      </c>
      <c r="M4" s="26">
        <f>RepoCo!M5</f>
        <v>1022.5823438262253</v>
      </c>
    </row>
    <row r="5" spans="1:13" ht="15" customHeight="1" x14ac:dyDescent="0.3">
      <c r="A5" s="65" t="s">
        <v>832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8">
        <f>RepoCo!M6</f>
        <v>12</v>
      </c>
    </row>
    <row r="6" spans="1:13" ht="15" customHeight="1" x14ac:dyDescent="0.3">
      <c r="A6" s="24" t="s">
        <v>833</v>
      </c>
      <c r="B6" s="25" t="s">
        <v>834</v>
      </c>
      <c r="C6" s="28">
        <f>C4*ASSUMPTIONS!C41*0.015</f>
        <v>2.1120000000000001</v>
      </c>
      <c r="D6" s="28">
        <f>D4*ASSUMPTIONS!D41*0.015</f>
        <v>2.0388225000000002</v>
      </c>
      <c r="E6" s="28">
        <f>E4*ASSUMPTIONS!E41*0.015</f>
        <v>2.8460308500000009</v>
      </c>
      <c r="F6" s="28">
        <f>F4*ASSUMPTIONS!F41*0.015</f>
        <v>3.8396958210000007</v>
      </c>
      <c r="G6" s="28">
        <f>G4*ASSUMPTIONS!G41*0.015</f>
        <v>4.7223149430600007</v>
      </c>
      <c r="H6" s="28">
        <f>H4*ASSUMPTIONS!H41*0.015</f>
        <v>5.9486726390676008</v>
      </c>
      <c r="I6" s="28">
        <f>I4*ASSUMPTIONS!I41*0.015</f>
        <v>8.53843789163321</v>
      </c>
      <c r="J6" s="28">
        <f>J4*ASSUMPTIONS!J41*0.015</f>
        <v>11.186118351280388</v>
      </c>
      <c r="K6" s="28">
        <f>K4*ASSUMPTIONS!K41*0.015</f>
        <v>14.702723734173123</v>
      </c>
      <c r="L6" s="28">
        <f>L4*ASSUMPTIONS!L41*0.015</f>
        <v>18.111866795732048</v>
      </c>
      <c r="M6" s="28">
        <f>M4*ASSUMPTIONS!M41*0.015</f>
        <v>19.940355704611392</v>
      </c>
    </row>
    <row r="7" spans="1:13" ht="15" customHeight="1" x14ac:dyDescent="0.3">
      <c r="A7" s="30" t="s">
        <v>818</v>
      </c>
      <c r="B7" s="29"/>
      <c r="C7" s="28">
        <f t="shared" ref="C7:M7" si="0">SUM(C4:C6)</f>
        <v>82.111999999999995</v>
      </c>
      <c r="D7" s="28">
        <f t="shared" si="0"/>
        <v>106.59382249999999</v>
      </c>
      <c r="E7" s="28">
        <f t="shared" si="0"/>
        <v>148.79633085000003</v>
      </c>
      <c r="F7" s="28">
        <f t="shared" si="0"/>
        <v>200.74717382100002</v>
      </c>
      <c r="G7" s="28">
        <f t="shared" si="0"/>
        <v>246.89231202306004</v>
      </c>
      <c r="H7" s="28">
        <f t="shared" si="0"/>
        <v>311.00880797586763</v>
      </c>
      <c r="I7" s="28">
        <f t="shared" si="0"/>
        <v>446.40704771897737</v>
      </c>
      <c r="J7" s="28">
        <f t="shared" si="0"/>
        <v>584.83321328873615</v>
      </c>
      <c r="K7" s="28">
        <f t="shared" si="0"/>
        <v>768.68855625587173</v>
      </c>
      <c r="L7" s="28">
        <f t="shared" si="0"/>
        <v>946.92554862814472</v>
      </c>
      <c r="M7" s="28">
        <f t="shared" si="0"/>
        <v>1054.5226995308367</v>
      </c>
    </row>
    <row r="8" spans="1:13" ht="15" customHeight="1" x14ac:dyDescent="0.3">
      <c r="A8" s="259"/>
      <c r="B8" s="259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</row>
    <row r="9" spans="1:13" ht="34.5" customHeight="1" x14ac:dyDescent="0.3">
      <c r="A9" s="8" t="s">
        <v>819</v>
      </c>
    </row>
    <row r="10" spans="1:13" ht="34.5" customHeight="1" x14ac:dyDescent="0.3">
      <c r="A10" s="31" t="s">
        <v>835</v>
      </c>
      <c r="B10" s="32" t="s">
        <v>836</v>
      </c>
      <c r="C10" s="69">
        <f>RepoCo!C5</f>
        <v>80</v>
      </c>
      <c r="D10" s="69">
        <f>RepoCo!D5</f>
        <v>104.55499999999999</v>
      </c>
      <c r="E10" s="69">
        <f>RepoCo!E5</f>
        <v>145.95030000000003</v>
      </c>
      <c r="F10" s="69">
        <f>RepoCo!F5</f>
        <v>196.90747800000003</v>
      </c>
      <c r="G10" s="69">
        <f>RepoCo!G5</f>
        <v>242.16999708000003</v>
      </c>
      <c r="H10" s="69">
        <f>RepoCo!H5</f>
        <v>305.06013533680004</v>
      </c>
      <c r="I10" s="69">
        <f>RepoCo!I5</f>
        <v>437.86860982734413</v>
      </c>
      <c r="J10" s="69">
        <f>RepoCo!J5</f>
        <v>573.64709493745579</v>
      </c>
      <c r="K10" s="69">
        <f>RepoCo!K5</f>
        <v>753.98583252169863</v>
      </c>
      <c r="L10" s="69">
        <f>RepoCo!L5</f>
        <v>928.81368183241273</v>
      </c>
      <c r="M10" s="69">
        <f>RepoCo!M5</f>
        <v>1022.5823438262253</v>
      </c>
    </row>
    <row r="11" spans="1:13" ht="15" customHeight="1" x14ac:dyDescent="0.3">
      <c r="A11" s="259"/>
      <c r="B11" s="259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</row>
    <row r="12" spans="1:13" ht="32.25" customHeight="1" x14ac:dyDescent="0.3">
      <c r="A12" s="83" t="s">
        <v>837</v>
      </c>
    </row>
    <row r="13" spans="1:13" ht="23.25" customHeight="1" x14ac:dyDescent="0.3">
      <c r="A13" s="84" t="s">
        <v>838</v>
      </c>
      <c r="B13" s="85" t="s">
        <v>839</v>
      </c>
      <c r="C13" s="86">
        <f>C4*ASSUMPTIONS!C41</f>
        <v>140.80000000000001</v>
      </c>
      <c r="D13" s="86">
        <f>D4*ASSUMPTIONS!D41</f>
        <v>135.92150000000001</v>
      </c>
      <c r="E13" s="86">
        <f>E4*ASSUMPTIONS!E41</f>
        <v>189.73539000000005</v>
      </c>
      <c r="F13" s="86">
        <f>F4*ASSUMPTIONS!F41</f>
        <v>255.97972140000005</v>
      </c>
      <c r="G13" s="86">
        <f>G4*ASSUMPTIONS!G41</f>
        <v>314.82099620400004</v>
      </c>
      <c r="H13" s="86">
        <f>H4*ASSUMPTIONS!H41</f>
        <v>396.57817593784006</v>
      </c>
      <c r="I13" s="86">
        <f>I4*ASSUMPTIONS!I41</f>
        <v>569.2291927755474</v>
      </c>
      <c r="J13" s="86">
        <f>J4*ASSUMPTIONS!J41</f>
        <v>745.74122341869258</v>
      </c>
      <c r="K13" s="86">
        <f>K4*ASSUMPTIONS!K41</f>
        <v>980.18158227820823</v>
      </c>
      <c r="L13" s="86">
        <f>L4*ASSUMPTIONS!L41</f>
        <v>1207.4577863821366</v>
      </c>
      <c r="M13" s="86">
        <f>M4*ASSUMPTIONS!M41</f>
        <v>1329.3570469740928</v>
      </c>
    </row>
    <row r="14" spans="1:13" ht="23.25" customHeight="1" x14ac:dyDescent="0.3">
      <c r="A14" s="84" t="s">
        <v>840</v>
      </c>
      <c r="B14" s="85" t="s">
        <v>841</v>
      </c>
      <c r="C14" s="89">
        <f t="shared" ref="C14:M14" si="1">C4+C5+C13</f>
        <v>220.8</v>
      </c>
      <c r="D14" s="89">
        <f t="shared" si="1"/>
        <v>240.47649999999999</v>
      </c>
      <c r="E14" s="89">
        <f t="shared" si="1"/>
        <v>335.68569000000008</v>
      </c>
      <c r="F14" s="89">
        <f t="shared" si="1"/>
        <v>452.8871994000001</v>
      </c>
      <c r="G14" s="89">
        <f t="shared" si="1"/>
        <v>556.99099328400007</v>
      </c>
      <c r="H14" s="89">
        <f t="shared" si="1"/>
        <v>701.63831127464005</v>
      </c>
      <c r="I14" s="89">
        <f t="shared" si="1"/>
        <v>1007.0978026028915</v>
      </c>
      <c r="J14" s="89">
        <f t="shared" si="1"/>
        <v>1319.3883183561484</v>
      </c>
      <c r="K14" s="89">
        <f t="shared" si="1"/>
        <v>1734.167414799907</v>
      </c>
      <c r="L14" s="89">
        <f t="shared" si="1"/>
        <v>2136.2714682145493</v>
      </c>
      <c r="M14" s="89">
        <f t="shared" si="1"/>
        <v>2363.9393908003181</v>
      </c>
    </row>
    <row r="15" spans="1:13" ht="15" customHeight="1" x14ac:dyDescent="0.3">
      <c r="A15" s="168" t="s">
        <v>842</v>
      </c>
      <c r="B15" s="208" t="s">
        <v>843</v>
      </c>
      <c r="C15" s="245">
        <f>HedgeCo!C4*MEASURES!C47</f>
        <v>80</v>
      </c>
      <c r="D15" s="245">
        <f>HedgeCo!D4*MEASURES!D47</f>
        <v>41.822000000000003</v>
      </c>
      <c r="E15" s="245">
        <f>HedgeCo!E4*MEASURES!E47</f>
        <v>58.380120000000012</v>
      </c>
      <c r="F15" s="245">
        <f>HedgeCo!F4*MEASURES!F47</f>
        <v>78.762991200000016</v>
      </c>
      <c r="G15" s="245">
        <f>HedgeCo!G4*MEASURES!G47</f>
        <v>96.867998832000012</v>
      </c>
      <c r="H15" s="245">
        <f>HedgeCo!H4*MEASURES!H47</f>
        <v>122.02405413472002</v>
      </c>
      <c r="I15" s="245">
        <f>HedgeCo!I4*MEASURES!I47</f>
        <v>175.14744393093767</v>
      </c>
      <c r="J15" s="245">
        <f>HedgeCo!J4*MEASURES!J47</f>
        <v>229.45883797498232</v>
      </c>
      <c r="K15" s="245">
        <f>HedgeCo!K4*MEASURES!K47</f>
        <v>301.59433300867948</v>
      </c>
      <c r="L15" s="245">
        <f>HedgeCo!L4*MEASURES!L47</f>
        <v>371.52547273296511</v>
      </c>
      <c r="M15" s="245">
        <f>HedgeCo!M4*MEASURES!M47</f>
        <v>409.03293753049013</v>
      </c>
    </row>
    <row r="16" spans="1:13" ht="21.75" customHeight="1" x14ac:dyDescent="0.3">
      <c r="A16" s="40" t="s">
        <v>424</v>
      </c>
    </row>
    <row r="17" spans="1:13" ht="32.25" customHeight="1" x14ac:dyDescent="0.3">
      <c r="A17" s="41" t="s">
        <v>844</v>
      </c>
      <c r="B17" s="90" t="s">
        <v>845</v>
      </c>
      <c r="C17" s="91">
        <f>IF(ASSUMPTIONS!C43=0,"-",C14/ASSUMPTIONS!C43)</f>
        <v>22.080000000000002</v>
      </c>
      <c r="D17" s="91">
        <f>IF(ASSUMPTIONS!C43=0,"-",D14/ASSUMPTIONS!C43)</f>
        <v>24.047649999999997</v>
      </c>
      <c r="E17" s="91">
        <f>IF(ASSUMPTIONS!C43=0,"-",E14/ASSUMPTIONS!C43)</f>
        <v>33.568569000000011</v>
      </c>
      <c r="F17" s="91">
        <f>IF(ASSUMPTIONS!C43=0,"-",F14/ASSUMPTIONS!C43)</f>
        <v>45.288719940000007</v>
      </c>
      <c r="G17" s="91">
        <f>IF(ASSUMPTIONS!C43=0,"-",G14/ASSUMPTIONS!C43)</f>
        <v>55.69909932840001</v>
      </c>
      <c r="H17" s="91">
        <f>IF(ASSUMPTIONS!C43=0,"-",H14/ASSUMPTIONS!C43)</f>
        <v>70.163831127464007</v>
      </c>
      <c r="I17" s="91">
        <f>IF(ASSUMPTIONS!C43=0,"-",I14/ASSUMPTIONS!C43)</f>
        <v>100.70978026028915</v>
      </c>
      <c r="J17" s="91">
        <f>IF(ASSUMPTIONS!C43=0,"-",J14/ASSUMPTIONS!C43)</f>
        <v>131.93883183561485</v>
      </c>
      <c r="K17" s="91">
        <f>IF(ASSUMPTIONS!C43=0,"-",K14/ASSUMPTIONS!C43)</f>
        <v>173.41674147999069</v>
      </c>
      <c r="L17" s="91">
        <f>IF(ASSUMPTIONS!C43=0,"-",L14/ASSUMPTIONS!C43)</f>
        <v>213.62714682145491</v>
      </c>
      <c r="M17" s="91">
        <f>IF(ASSUMPTIONS!C43=0,"-",M14/ASSUMPTIONS!C43)</f>
        <v>236.3939390800318</v>
      </c>
    </row>
    <row r="18" spans="1:13" ht="32.25" customHeight="1" x14ac:dyDescent="0.3">
      <c r="A18" s="92" t="s">
        <v>846</v>
      </c>
      <c r="B18" s="42" t="s">
        <v>847</v>
      </c>
      <c r="C18" s="93">
        <f t="shared" ref="C18:M18" si="2">C14</f>
        <v>220.8</v>
      </c>
      <c r="D18" s="93">
        <f t="shared" si="2"/>
        <v>240.47649999999999</v>
      </c>
      <c r="E18" s="93">
        <f t="shared" si="2"/>
        <v>335.68569000000008</v>
      </c>
      <c r="F18" s="93">
        <f t="shared" si="2"/>
        <v>452.8871994000001</v>
      </c>
      <c r="G18" s="93">
        <f t="shared" si="2"/>
        <v>556.99099328400007</v>
      </c>
      <c r="H18" s="93">
        <f t="shared" si="2"/>
        <v>701.63831127464005</v>
      </c>
      <c r="I18" s="93">
        <f t="shared" si="2"/>
        <v>1007.0978026028915</v>
      </c>
      <c r="J18" s="93">
        <f t="shared" si="2"/>
        <v>1319.3883183561484</v>
      </c>
      <c r="K18" s="93">
        <f t="shared" si="2"/>
        <v>1734.167414799907</v>
      </c>
      <c r="L18" s="93">
        <f t="shared" si="2"/>
        <v>2136.2714682145493</v>
      </c>
      <c r="M18" s="93">
        <f t="shared" si="2"/>
        <v>2363.9393908003181</v>
      </c>
    </row>
    <row r="19" spans="1:13" ht="15" customHeight="1" x14ac:dyDescent="0.3">
      <c r="A19" s="259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</row>
    <row r="20" spans="1:13" ht="23.25" customHeight="1" x14ac:dyDescent="0.3">
      <c r="A20" s="94" t="s">
        <v>848</v>
      </c>
    </row>
    <row r="21" spans="1:13" ht="23.25" customHeight="1" x14ac:dyDescent="0.3">
      <c r="A21" s="95" t="s">
        <v>849</v>
      </c>
      <c r="B21" s="96" t="s">
        <v>850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0</v>
      </c>
      <c r="K21" s="97">
        <v>0</v>
      </c>
      <c r="L21" s="97">
        <v>0</v>
      </c>
      <c r="M21" s="98">
        <f>-L4*0.3</f>
        <v>-278.64410454972381</v>
      </c>
    </row>
    <row r="22" spans="1:13" ht="23.25" customHeight="1" x14ac:dyDescent="0.3">
      <c r="A22" s="95" t="s">
        <v>851</v>
      </c>
      <c r="B22" s="96" t="s">
        <v>852</v>
      </c>
      <c r="C22" s="97">
        <v>0</v>
      </c>
      <c r="D22" s="97">
        <v>0</v>
      </c>
      <c r="E22" s="97">
        <v>0</v>
      </c>
      <c r="F22" s="97">
        <v>0</v>
      </c>
      <c r="G22" s="97">
        <v>0</v>
      </c>
      <c r="H22" s="97">
        <v>0</v>
      </c>
      <c r="I22" s="97">
        <v>0</v>
      </c>
      <c r="J22" s="97">
        <v>0</v>
      </c>
      <c r="K22" s="97">
        <v>0</v>
      </c>
      <c r="L22" s="97">
        <v>0</v>
      </c>
      <c r="M22" s="98">
        <f>-M12*0.02</f>
        <v>0</v>
      </c>
    </row>
  </sheetData>
  <mergeCells count="5">
    <mergeCell ref="A19:M19"/>
    <mergeCell ref="A1:M1"/>
    <mergeCell ref="A8:M8"/>
    <mergeCell ref="A3:M3"/>
    <mergeCell ref="A11:M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M21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52" customWidth="1"/>
    <col min="3" max="13" width="9" customWidth="1"/>
  </cols>
  <sheetData>
    <row r="1" spans="1:13" ht="21.75" customHeight="1" x14ac:dyDescent="0.3">
      <c r="A1" s="273" t="s">
        <v>853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ht="27.75" customHeight="1" x14ac:dyDescent="0.3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117</v>
      </c>
      <c r="M2" s="7" t="s">
        <v>118</v>
      </c>
    </row>
    <row r="3" spans="1:13" ht="15" customHeight="1" x14ac:dyDescent="0.3">
      <c r="A3" s="258" t="s">
        <v>404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</row>
    <row r="4" spans="1:13" ht="21.75" customHeight="1" x14ac:dyDescent="0.3">
      <c r="A4" s="24" t="s">
        <v>854</v>
      </c>
      <c r="B4" s="25" t="s">
        <v>855</v>
      </c>
      <c r="C4" s="28">
        <f>ASSUMPTIONS!C46</f>
        <v>64</v>
      </c>
      <c r="D4" s="28">
        <f>C4+ASSUMPTIONS!D47</f>
        <v>79</v>
      </c>
      <c r="E4" s="28">
        <f>D4+ASSUMPTIONS!E47</f>
        <v>94</v>
      </c>
      <c r="F4" s="28">
        <f>E4+ASSUMPTIONS!F47</f>
        <v>114</v>
      </c>
      <c r="G4" s="28">
        <f>F4+ASSUMPTIONS!G47</f>
        <v>194</v>
      </c>
      <c r="H4" s="28">
        <f>G4+ASSUMPTIONS!H47</f>
        <v>186</v>
      </c>
      <c r="I4" s="28">
        <f>H4+ASSUMPTIONS!I47</f>
        <v>166</v>
      </c>
      <c r="J4" s="28">
        <f>I4+ASSUMPTIONS!J47</f>
        <v>141</v>
      </c>
      <c r="K4" s="28">
        <f>J4+ASSUMPTIONS!K47</f>
        <v>126</v>
      </c>
      <c r="L4" s="28">
        <f>K4+ASSUMPTIONS!L47</f>
        <v>118</v>
      </c>
      <c r="M4" s="28">
        <f>L4+ASSUMPTIONS!M47+ASSUMPTIONS!M49</f>
        <v>163</v>
      </c>
    </row>
    <row r="5" spans="1:13" ht="15" customHeight="1" x14ac:dyDescent="0.3">
      <c r="A5" s="24" t="s">
        <v>856</v>
      </c>
      <c r="B5" s="29"/>
      <c r="C5" s="27">
        <v>80</v>
      </c>
      <c r="D5" s="28">
        <f>C5+ASSUMPTIONS!D44*0.55</f>
        <v>80</v>
      </c>
      <c r="E5" s="28">
        <f>D5+ASSUMPTIONS!E44*0.55</f>
        <v>80</v>
      </c>
      <c r="F5" s="28">
        <f>E5+ASSUMPTIONS!F44*0.55</f>
        <v>80</v>
      </c>
      <c r="G5" s="28">
        <f>F5+ASSUMPTIONS!G44*0.55</f>
        <v>80</v>
      </c>
      <c r="H5" s="28">
        <f>G5+ASSUMPTIONS!H44*0.55</f>
        <v>80</v>
      </c>
      <c r="I5" s="28">
        <f>H5+ASSUMPTIONS!I44*0.55</f>
        <v>80</v>
      </c>
      <c r="J5" s="28">
        <f>I5+ASSUMPTIONS!J44*0.55</f>
        <v>80</v>
      </c>
      <c r="K5" s="28">
        <f>J5+ASSUMPTIONS!K44*0.55</f>
        <v>80</v>
      </c>
      <c r="L5" s="28">
        <f>K5+ASSUMPTIONS!L44*0.55</f>
        <v>80</v>
      </c>
      <c r="M5" s="28">
        <f>L5+ASSUMPTIONS!M44*0.55</f>
        <v>80</v>
      </c>
    </row>
    <row r="6" spans="1:13" ht="15" customHeight="1" x14ac:dyDescent="0.3">
      <c r="A6" s="30" t="s">
        <v>857</v>
      </c>
      <c r="B6" s="29"/>
      <c r="C6" s="28">
        <f t="shared" ref="C6:M6" si="0">SUM(C4:C5)+C20+C21</f>
        <v>144.00319999999999</v>
      </c>
      <c r="D6" s="28">
        <f t="shared" si="0"/>
        <v>159.04484528</v>
      </c>
      <c r="E6" s="28">
        <f t="shared" si="0"/>
        <v>174.09136390293332</v>
      </c>
      <c r="F6" s="28">
        <f t="shared" si="0"/>
        <v>194.11061333333333</v>
      </c>
      <c r="G6" s="28">
        <f t="shared" si="0"/>
        <v>274.11061333333333</v>
      </c>
      <c r="H6" s="28">
        <f t="shared" si="0"/>
        <v>266.11061333333333</v>
      </c>
      <c r="I6" s="28">
        <f t="shared" si="0"/>
        <v>246.11061333333333</v>
      </c>
      <c r="J6" s="28">
        <f t="shared" si="0"/>
        <v>221.11061333333333</v>
      </c>
      <c r="K6" s="28">
        <f t="shared" si="0"/>
        <v>226.11061333333333</v>
      </c>
      <c r="L6" s="28">
        <f t="shared" si="0"/>
        <v>218.13141333333334</v>
      </c>
      <c r="M6" s="28">
        <f t="shared" si="0"/>
        <v>263.16341333333332</v>
      </c>
    </row>
    <row r="8" spans="1:13" ht="15" customHeight="1" x14ac:dyDescent="0.3">
      <c r="A8" s="258" t="s">
        <v>410</v>
      </c>
      <c r="B8" s="259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</row>
    <row r="9" spans="1:13" ht="21.75" customHeight="1" x14ac:dyDescent="0.3">
      <c r="A9" s="31" t="s">
        <v>858</v>
      </c>
      <c r="B9" s="32" t="s">
        <v>859</v>
      </c>
      <c r="C9" s="35">
        <v>200</v>
      </c>
      <c r="D9" s="33">
        <f>C9+ASSUMPTIONS!D44+ASSUMPTIONS!D46</f>
        <v>200</v>
      </c>
      <c r="E9" s="33">
        <f>D9+ASSUMPTIONS!E44+ASSUMPTIONS!E46</f>
        <v>200</v>
      </c>
      <c r="F9" s="33">
        <f>E9+ASSUMPTIONS!F44+ASSUMPTIONS!F46</f>
        <v>200</v>
      </c>
      <c r="G9" s="33">
        <f>F9+ASSUMPTIONS!G44+ASSUMPTIONS!G46</f>
        <v>200</v>
      </c>
      <c r="H9" s="33">
        <f>G9+ASSUMPTIONS!H44+ASSUMPTIONS!H46</f>
        <v>200</v>
      </c>
      <c r="I9" s="33">
        <f>H9+ASSUMPTIONS!I44+ASSUMPTIONS!I46</f>
        <v>200</v>
      </c>
      <c r="J9" s="33">
        <f>I9+ASSUMPTIONS!J44+ASSUMPTIONS!J46</f>
        <v>200</v>
      </c>
      <c r="K9" s="33">
        <f>J9+ASSUMPTIONS!K44+ASSUMPTIONS!K46</f>
        <v>200</v>
      </c>
      <c r="L9" s="33">
        <f>K9+ASSUMPTIONS!L44+ASSUMPTIONS!L46</f>
        <v>200</v>
      </c>
      <c r="M9" s="33">
        <f>L9+ASSUMPTIONS!M44+ASSUMPTIONS!M46</f>
        <v>200</v>
      </c>
    </row>
    <row r="10" spans="1:13" ht="15" customHeight="1" x14ac:dyDescent="0.3">
      <c r="A10" s="31" t="s">
        <v>860</v>
      </c>
      <c r="B10" s="34"/>
      <c r="C10" s="35">
        <v>150</v>
      </c>
      <c r="D10" s="33">
        <f t="shared" ref="D10:M10" si="1">C10*1.04</f>
        <v>156</v>
      </c>
      <c r="E10" s="33">
        <f t="shared" si="1"/>
        <v>162.24</v>
      </c>
      <c r="F10" s="33">
        <f t="shared" si="1"/>
        <v>168.7296</v>
      </c>
      <c r="G10" s="33">
        <f t="shared" si="1"/>
        <v>175.47878400000002</v>
      </c>
      <c r="H10" s="33">
        <f t="shared" si="1"/>
        <v>182.49793536000001</v>
      </c>
      <c r="I10" s="33">
        <f t="shared" si="1"/>
        <v>189.79785277440001</v>
      </c>
      <c r="J10" s="33">
        <f t="shared" si="1"/>
        <v>197.38976688537602</v>
      </c>
      <c r="K10" s="33">
        <f t="shared" si="1"/>
        <v>205.28535756079106</v>
      </c>
      <c r="L10" s="33">
        <f t="shared" si="1"/>
        <v>213.4967718632227</v>
      </c>
      <c r="M10" s="33">
        <f t="shared" si="1"/>
        <v>222.03664273775163</v>
      </c>
    </row>
    <row r="11" spans="1:13" ht="21.75" customHeight="1" x14ac:dyDescent="0.3">
      <c r="A11" s="31" t="s">
        <v>861</v>
      </c>
      <c r="B11" s="32" t="s">
        <v>862</v>
      </c>
      <c r="C11" s="35">
        <v>0</v>
      </c>
      <c r="D11" s="35">
        <v>300</v>
      </c>
      <c r="E11" s="35">
        <v>300</v>
      </c>
      <c r="F11" s="35">
        <v>300</v>
      </c>
      <c r="G11" s="35">
        <v>200</v>
      </c>
      <c r="H11" s="35">
        <v>2500</v>
      </c>
      <c r="I11" s="35">
        <v>2000</v>
      </c>
      <c r="J11" s="35">
        <v>1500</v>
      </c>
      <c r="K11" s="35">
        <v>700</v>
      </c>
      <c r="L11" s="35">
        <v>300</v>
      </c>
      <c r="M11" s="35">
        <v>300</v>
      </c>
    </row>
    <row r="13" spans="1:13" ht="15" customHeight="1" x14ac:dyDescent="0.3">
      <c r="A13" s="274" t="s">
        <v>424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</row>
    <row r="14" spans="1:13" ht="21.75" customHeight="1" x14ac:dyDescent="0.3">
      <c r="A14" s="41" t="s">
        <v>863</v>
      </c>
      <c r="B14" s="42" t="s">
        <v>864</v>
      </c>
      <c r="C14" s="44">
        <f>C6/ASSUMPTIONS!C5</f>
        <v>0.51429714285714279</v>
      </c>
      <c r="D14" s="44">
        <f>D6/ASSUMPTIONS!D5</f>
        <v>0.55416322397212547</v>
      </c>
      <c r="E14" s="44">
        <f>E6/ASSUMPTIONS!E5</f>
        <v>0.59214749626848073</v>
      </c>
      <c r="F14" s="44">
        <f>F6/ASSUMPTIONS!F5</f>
        <v>0.64275037527593815</v>
      </c>
      <c r="G14" s="44">
        <f>G6/ASSUMPTIONS!G5</f>
        <v>0.95177296296296299</v>
      </c>
      <c r="H14" s="44">
        <f>H6/ASSUMPTIONS!H5</f>
        <v>0.88703537777777774</v>
      </c>
      <c r="I14" s="44">
        <f>I6/ASSUMPTIONS!I5</f>
        <v>0.79906043290043294</v>
      </c>
      <c r="J14" s="44">
        <f>J6/ASSUMPTIONS!J5</f>
        <v>0.70193845502645502</v>
      </c>
      <c r="K14" s="44">
        <f>K6/ASSUMPTIONS!K5</f>
        <v>0.70659566666666662</v>
      </c>
      <c r="L14" s="44">
        <f>L6/ASSUMPTIONS!L5</f>
        <v>0.68594784067085957</v>
      </c>
      <c r="M14" s="44">
        <f>M6/ASSUMPTIONS!M5</f>
        <v>0.8772113777777778</v>
      </c>
    </row>
    <row r="15" spans="1:13" ht="23.25" customHeight="1" x14ac:dyDescent="0.3">
      <c r="A15" s="41" t="s">
        <v>865</v>
      </c>
      <c r="B15" s="42" t="s">
        <v>866</v>
      </c>
      <c r="C15" s="62">
        <f>ASSUMPTIONS!C5*ASSUMPTIONS!C48-C6</f>
        <v>219.99680000000001</v>
      </c>
      <c r="D15" s="62">
        <f>ASSUMPTIONS!D5*ASSUMPTIONS!D48-D6</f>
        <v>214.05515472000002</v>
      </c>
      <c r="E15" s="62">
        <f>ASSUMPTIONS!E5*ASSUMPTIONS!E48-E6</f>
        <v>208.10863609706666</v>
      </c>
      <c r="F15" s="62">
        <f>ASSUMPTIONS!F5*ASSUMPTIONS!F48-F6</f>
        <v>198.48938666666669</v>
      </c>
      <c r="G15" s="62">
        <f>ASSUMPTIONS!G5*ASSUMPTIONS!G48-G6</f>
        <v>100.2893866666667</v>
      </c>
      <c r="H15" s="62">
        <f>ASSUMPTIONS!H5*ASSUMPTIONS!H48-H6</f>
        <v>123.88938666666667</v>
      </c>
      <c r="I15" s="62">
        <f>ASSUMPTIONS!I5*ASSUMPTIONS!I48-I6</f>
        <v>154.2893866666667</v>
      </c>
      <c r="J15" s="62">
        <f>ASSUMPTIONS!J5*ASSUMPTIONS!J48-J6</f>
        <v>188.38938666666667</v>
      </c>
      <c r="K15" s="62">
        <f>ASSUMPTIONS!K5*ASSUMPTIONS!K48-K6</f>
        <v>189.88938666666667</v>
      </c>
      <c r="L15" s="62">
        <f>ASSUMPTIONS!L5*ASSUMPTIONS!L48-L6</f>
        <v>195.26858666666669</v>
      </c>
      <c r="M15" s="62">
        <f>ASSUMPTIONS!M5*ASSUMPTIONS!M48-M6</f>
        <v>126.83658666666668</v>
      </c>
    </row>
    <row r="17" spans="1:13" ht="15" customHeight="1" x14ac:dyDescent="0.3">
      <c r="A17" s="285" t="s">
        <v>867</v>
      </c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</row>
    <row r="18" spans="1:13" ht="23.25" customHeight="1" x14ac:dyDescent="0.3">
      <c r="A18" s="95" t="s">
        <v>868</v>
      </c>
      <c r="B18" s="96" t="s">
        <v>869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100">
        <f>ASSUMPTIONS!M49</f>
        <v>45</v>
      </c>
    </row>
    <row r="20" spans="1:13" x14ac:dyDescent="0.3">
      <c r="A20" s="168" t="s">
        <v>870</v>
      </c>
      <c r="B20" s="208" t="s">
        <v>871</v>
      </c>
      <c r="C20" s="217">
        <f>MEASURES!C54</f>
        <v>3.2000000000000032E-3</v>
      </c>
      <c r="D20" s="217">
        <f>MEASURES!D54</f>
        <v>4.4845280000000001E-2</v>
      </c>
      <c r="E20" s="217">
        <f>MEASURES!E54</f>
        <v>9.1363902933333352E-2</v>
      </c>
      <c r="F20" s="217">
        <f>MEASURES!F54</f>
        <v>0.11061333333333333</v>
      </c>
      <c r="G20" s="217">
        <f>MEASURES!G54</f>
        <v>0.11061333333333333</v>
      </c>
      <c r="H20" s="217">
        <f>MEASURES!H54</f>
        <v>0.11061333333333333</v>
      </c>
      <c r="I20" s="217">
        <f>MEASURES!I54</f>
        <v>0.11061333333333333</v>
      </c>
      <c r="J20" s="217">
        <f>MEASURES!J54</f>
        <v>0.11061333333333333</v>
      </c>
      <c r="K20" s="217">
        <f>MEASURES!K54</f>
        <v>0.11061333333333333</v>
      </c>
      <c r="L20" s="217">
        <f>MEASURES!L54</f>
        <v>0.1314133333333333</v>
      </c>
      <c r="M20" s="217">
        <f>MEASURES!M54</f>
        <v>0.16341333333333333</v>
      </c>
    </row>
    <row r="21" spans="1:13" x14ac:dyDescent="0.3">
      <c r="A21" s="168" t="s">
        <v>872</v>
      </c>
      <c r="B21" s="208" t="s">
        <v>873</v>
      </c>
      <c r="C21" s="217">
        <f>MEASURES!C58</f>
        <v>0</v>
      </c>
      <c r="D21" s="217">
        <f>MEASURES!D58</f>
        <v>0</v>
      </c>
      <c r="E21" s="217">
        <f>MEASURES!E58</f>
        <v>0</v>
      </c>
      <c r="F21" s="217">
        <f>MEASURES!F58</f>
        <v>0</v>
      </c>
      <c r="G21" s="217">
        <f>MEASURES!G58</f>
        <v>0</v>
      </c>
      <c r="H21" s="217">
        <f>MEASURES!H58</f>
        <v>0</v>
      </c>
      <c r="I21" s="217">
        <f>MEASURES!I58</f>
        <v>0</v>
      </c>
      <c r="J21" s="217">
        <f>MEASURES!J58</f>
        <v>0</v>
      </c>
      <c r="K21" s="217">
        <f>MEASURES!K58</f>
        <v>20</v>
      </c>
      <c r="L21" s="217">
        <f>MEASURES!L58</f>
        <v>20</v>
      </c>
      <c r="M21" s="217">
        <f>MEASURES!M58</f>
        <v>20</v>
      </c>
    </row>
  </sheetData>
  <mergeCells count="5">
    <mergeCell ref="A13:M13"/>
    <mergeCell ref="A1:M1"/>
    <mergeCell ref="A8:M8"/>
    <mergeCell ref="A17:M17"/>
    <mergeCell ref="A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M68"/>
  <sheetViews>
    <sheetView zoomScaleNormal="100" workbookViewId="0"/>
  </sheetViews>
  <sheetFormatPr defaultColWidth="8.6640625" defaultRowHeight="14.4" x14ac:dyDescent="0.3"/>
  <cols>
    <col min="1" max="2" width="42" customWidth="1"/>
    <col min="3" max="13" width="9" customWidth="1"/>
  </cols>
  <sheetData>
    <row r="1" spans="1:13" ht="21.75" customHeight="1" x14ac:dyDescent="0.3">
      <c r="A1" s="6" t="s">
        <v>874</v>
      </c>
    </row>
    <row r="2" spans="1:13" ht="27.75" customHeight="1" x14ac:dyDescent="0.3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117</v>
      </c>
      <c r="M2" s="7" t="s">
        <v>118</v>
      </c>
    </row>
    <row r="3" spans="1:13" ht="15" customHeight="1" x14ac:dyDescent="0.3">
      <c r="A3" s="8" t="s">
        <v>875</v>
      </c>
    </row>
    <row r="4" spans="1:13" ht="26.25" customHeight="1" x14ac:dyDescent="0.3">
      <c r="A4" s="101" t="s">
        <v>876</v>
      </c>
      <c r="B4" s="101" t="s">
        <v>877</v>
      </c>
      <c r="C4" s="102" t="s">
        <v>108</v>
      </c>
      <c r="D4" s="102" t="s">
        <v>109</v>
      </c>
      <c r="E4" s="102" t="s">
        <v>110</v>
      </c>
      <c r="F4" s="102" t="s">
        <v>111</v>
      </c>
      <c r="G4" s="102" t="s">
        <v>112</v>
      </c>
      <c r="H4" s="102" t="s">
        <v>113</v>
      </c>
      <c r="I4" s="102" t="s">
        <v>114</v>
      </c>
      <c r="J4" s="102" t="s">
        <v>115</v>
      </c>
      <c r="K4" s="102" t="s">
        <v>116</v>
      </c>
      <c r="L4" s="102" t="s">
        <v>117</v>
      </c>
      <c r="M4" s="102" t="s">
        <v>118</v>
      </c>
    </row>
    <row r="5" spans="1:13" ht="21.75" customHeight="1" x14ac:dyDescent="0.3">
      <c r="A5" s="103" t="s">
        <v>878</v>
      </c>
      <c r="B5" s="104" t="s">
        <v>879</v>
      </c>
      <c r="C5" s="105">
        <f>JapanCo!C5-(GlobalBankCo!C12)</f>
        <v>0</v>
      </c>
      <c r="D5" s="105">
        <f>JapanCo!D5-(GlobalBankCo!D12)</f>
        <v>0</v>
      </c>
      <c r="E5" s="105">
        <f>JapanCo!E5-(GlobalBankCo!E12)</f>
        <v>0</v>
      </c>
      <c r="F5" s="105">
        <f>JapanCo!F5-(GlobalBankCo!F12)</f>
        <v>0</v>
      </c>
      <c r="G5" s="105">
        <f>JapanCo!G5-(GlobalBankCo!G12)</f>
        <v>0</v>
      </c>
      <c r="H5" s="105">
        <f>JapanCo!H5-(GlobalBankCo!H12)</f>
        <v>0</v>
      </c>
      <c r="I5" s="105">
        <f>JapanCo!I5-(GlobalBankCo!I12)</f>
        <v>0</v>
      </c>
      <c r="J5" s="105">
        <f>JapanCo!J5-(GlobalBankCo!J12)</f>
        <v>0</v>
      </c>
      <c r="K5" s="105">
        <f>JapanCo!K5-(GlobalBankCo!K12)</f>
        <v>0</v>
      </c>
      <c r="L5" s="105">
        <f>JapanCo!L5-(GlobalBankCo!L12)</f>
        <v>0</v>
      </c>
      <c r="M5" s="105">
        <f>JapanCo!M5-(GlobalBankCo!M12)</f>
        <v>0</v>
      </c>
    </row>
    <row r="6" spans="1:13" ht="23.25" customHeight="1" x14ac:dyDescent="0.3">
      <c r="A6" s="103" t="s">
        <v>880</v>
      </c>
      <c r="B6" s="104" t="s">
        <v>881</v>
      </c>
      <c r="C6" s="105">
        <f>CommodityCo!C4-(GlobalBankCo!C13)</f>
        <v>0</v>
      </c>
      <c r="D6" s="105">
        <f>CommodityCo!D4-(GlobalBankCo!D13)</f>
        <v>0</v>
      </c>
      <c r="E6" s="105">
        <f>CommodityCo!E4-(GlobalBankCo!E13)</f>
        <v>0</v>
      </c>
      <c r="F6" s="105">
        <f>CommodityCo!F4-(GlobalBankCo!F13)</f>
        <v>0</v>
      </c>
      <c r="G6" s="105">
        <f>CommodityCo!G4-(GlobalBankCo!G13)</f>
        <v>0</v>
      </c>
      <c r="H6" s="105">
        <f>CommodityCo!H4-(GlobalBankCo!H13)</f>
        <v>0</v>
      </c>
      <c r="I6" s="105">
        <f>CommodityCo!I4-(GlobalBankCo!I13)</f>
        <v>0</v>
      </c>
      <c r="J6" s="105">
        <f>CommodityCo!J4-(GlobalBankCo!J13)</f>
        <v>0</v>
      </c>
      <c r="K6" s="105">
        <f>CommodityCo!K4-(GlobalBankCo!K13)</f>
        <v>0</v>
      </c>
      <c r="L6" s="105">
        <f>CommodityCo!L4-(GlobalBankCo!L13)</f>
        <v>0</v>
      </c>
      <c r="M6" s="105">
        <f>CommodityCo!M4-(GlobalBankCo!M13)</f>
        <v>0</v>
      </c>
    </row>
    <row r="7" spans="1:13" ht="15" customHeight="1" x14ac:dyDescent="0.3">
      <c r="A7" s="103" t="s">
        <v>882</v>
      </c>
      <c r="B7" s="104" t="s">
        <v>883</v>
      </c>
      <c r="C7" s="105">
        <f>GlobalBankCo!C4-(RepoCo!C10)</f>
        <v>0</v>
      </c>
      <c r="D7" s="105">
        <f>GlobalBankCo!D4-(RepoCo!D10)</f>
        <v>0</v>
      </c>
      <c r="E7" s="105">
        <f>GlobalBankCo!E4-(RepoCo!E10)</f>
        <v>0</v>
      </c>
      <c r="F7" s="105">
        <f>GlobalBankCo!F4-(RepoCo!F10)</f>
        <v>0</v>
      </c>
      <c r="G7" s="105">
        <f>GlobalBankCo!G4-(RepoCo!G10)</f>
        <v>0</v>
      </c>
      <c r="H7" s="105">
        <f>GlobalBankCo!H4-(RepoCo!H10)</f>
        <v>0</v>
      </c>
      <c r="I7" s="105">
        <f>GlobalBankCo!I4-(RepoCo!I10)</f>
        <v>0</v>
      </c>
      <c r="J7" s="105">
        <f>GlobalBankCo!J4-(RepoCo!J10)</f>
        <v>0</v>
      </c>
      <c r="K7" s="105">
        <f>GlobalBankCo!K4-(RepoCo!K10)</f>
        <v>0</v>
      </c>
      <c r="L7" s="105">
        <f>GlobalBankCo!L4-(RepoCo!L10)</f>
        <v>0</v>
      </c>
      <c r="M7" s="105">
        <f>GlobalBankCo!M4-(RepoCo!M10)</f>
        <v>0</v>
      </c>
    </row>
    <row r="8" spans="1:13" ht="15" customHeight="1" x14ac:dyDescent="0.3">
      <c r="A8" s="103" t="s">
        <v>884</v>
      </c>
      <c r="B8" s="104" t="s">
        <v>885</v>
      </c>
      <c r="C8" s="105">
        <f>RepoCo!C5-(HedgeCo!C10)</f>
        <v>0</v>
      </c>
      <c r="D8" s="105">
        <f>RepoCo!D5-(HedgeCo!D10)</f>
        <v>0</v>
      </c>
      <c r="E8" s="105">
        <f>RepoCo!E5-(HedgeCo!E10)</f>
        <v>0</v>
      </c>
      <c r="F8" s="105">
        <f>RepoCo!F5-(HedgeCo!F10)</f>
        <v>0</v>
      </c>
      <c r="G8" s="105">
        <f>RepoCo!G5-(HedgeCo!G10)</f>
        <v>0</v>
      </c>
      <c r="H8" s="105">
        <f>RepoCo!H5-(HedgeCo!H10)</f>
        <v>0</v>
      </c>
      <c r="I8" s="105">
        <f>RepoCo!I5-(HedgeCo!I10)</f>
        <v>0</v>
      </c>
      <c r="J8" s="105">
        <f>RepoCo!J5-(HedgeCo!J10)</f>
        <v>0</v>
      </c>
      <c r="K8" s="105">
        <f>RepoCo!K5-(HedgeCo!K10)</f>
        <v>0</v>
      </c>
      <c r="L8" s="105">
        <f>RepoCo!L5-(HedgeCo!L10)</f>
        <v>0</v>
      </c>
      <c r="M8" s="105">
        <f>RepoCo!M5-(HedgeCo!M10)</f>
        <v>0</v>
      </c>
    </row>
    <row r="9" spans="1:13" ht="23.25" customHeight="1" x14ac:dyDescent="0.3">
      <c r="A9" s="103" t="s">
        <v>886</v>
      </c>
      <c r="B9" s="104" t="s">
        <v>887</v>
      </c>
      <c r="C9" s="106">
        <f>HedgeCo!C4-(RepoCo!C5)</f>
        <v>0</v>
      </c>
      <c r="D9" s="106">
        <f>HedgeCo!D4-(RepoCo!D5)</f>
        <v>0</v>
      </c>
      <c r="E9" s="106">
        <f>HedgeCo!E4-(RepoCo!E5)</f>
        <v>0</v>
      </c>
      <c r="F9" s="106">
        <f>HedgeCo!F4-(RepoCo!F5)</f>
        <v>0</v>
      </c>
      <c r="G9" s="106">
        <f>HedgeCo!G4-(RepoCo!G5)</f>
        <v>0</v>
      </c>
      <c r="H9" s="106">
        <f>HedgeCo!H4-(RepoCo!H5)</f>
        <v>0</v>
      </c>
      <c r="I9" s="106">
        <f>HedgeCo!I4-(RepoCo!I5)</f>
        <v>0</v>
      </c>
      <c r="J9" s="106">
        <f>HedgeCo!J4-(RepoCo!J5)</f>
        <v>0</v>
      </c>
      <c r="K9" s="106">
        <f>HedgeCo!K4-(RepoCo!K5)</f>
        <v>0</v>
      </c>
      <c r="L9" s="106">
        <f>HedgeCo!L4-(RepoCo!L5)</f>
        <v>0</v>
      </c>
      <c r="M9" s="106">
        <f>HedgeCo!M4-(RepoCo!M5)</f>
        <v>0</v>
      </c>
    </row>
    <row r="10" spans="1:13" ht="23.25" customHeight="1" x14ac:dyDescent="0.3">
      <c r="A10" s="103" t="s">
        <v>888</v>
      </c>
      <c r="B10" s="104" t="s">
        <v>889</v>
      </c>
      <c r="C10" s="105">
        <f>CommodityCo!C14-(JapanCo!C7)</f>
        <v>0</v>
      </c>
      <c r="D10" s="105">
        <f>CommodityCo!D14-(JapanCo!D7)</f>
        <v>0</v>
      </c>
      <c r="E10" s="105">
        <f>CommodityCo!E14-(JapanCo!E7)</f>
        <v>0</v>
      </c>
      <c r="F10" s="105">
        <f>CommodityCo!F14-(JapanCo!F7)</f>
        <v>0</v>
      </c>
      <c r="G10" s="105">
        <f>CommodityCo!G14-(JapanCo!G7)</f>
        <v>0</v>
      </c>
      <c r="H10" s="105">
        <f>CommodityCo!H14-(JapanCo!H7)</f>
        <v>0</v>
      </c>
      <c r="I10" s="105">
        <f>CommodityCo!I14-(JapanCo!I7)</f>
        <v>0</v>
      </c>
      <c r="J10" s="105">
        <f>CommodityCo!J14-(JapanCo!J7)</f>
        <v>0</v>
      </c>
      <c r="K10" s="105">
        <f>CommodityCo!K14-(JapanCo!K7)</f>
        <v>0</v>
      </c>
      <c r="L10" s="105">
        <f>CommodityCo!L14-(JapanCo!L7)</f>
        <v>0</v>
      </c>
      <c r="M10" s="105">
        <f>CommodityCo!M14-(JapanCo!M7)</f>
        <v>0</v>
      </c>
    </row>
    <row r="11" spans="1:13" ht="21.75" customHeight="1" x14ac:dyDescent="0.3">
      <c r="A11" s="103" t="s">
        <v>890</v>
      </c>
      <c r="B11" s="104" t="s">
        <v>891</v>
      </c>
      <c r="C11" s="105">
        <f>FedCo!C4-ASSUMPTIONS!C46</f>
        <v>0</v>
      </c>
      <c r="D11" s="105">
        <v>0</v>
      </c>
      <c r="E11" s="105">
        <v>0</v>
      </c>
      <c r="F11" s="105">
        <v>0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</row>
    <row r="12" spans="1:13" ht="15" customHeight="1" x14ac:dyDescent="0.3">
      <c r="A12" s="65" t="s">
        <v>892</v>
      </c>
      <c r="C12" s="107">
        <f>CommodityCo!C9-GlobalBankCo!C14</f>
        <v>0</v>
      </c>
      <c r="D12" s="107">
        <f>CommodityCo!D9-GlobalBankCo!D14</f>
        <v>0</v>
      </c>
      <c r="E12" s="107">
        <f>CommodityCo!E9-GlobalBankCo!E14</f>
        <v>0</v>
      </c>
      <c r="F12" s="107">
        <f>CommodityCo!F9-GlobalBankCo!F14</f>
        <v>0</v>
      </c>
      <c r="G12" s="107">
        <f>CommodityCo!G9-GlobalBankCo!G14</f>
        <v>0</v>
      </c>
      <c r="H12" s="107">
        <f>CommodityCo!H9-GlobalBankCo!H14</f>
        <v>0</v>
      </c>
      <c r="I12" s="107">
        <f>CommodityCo!I9-GlobalBankCo!I14</f>
        <v>0</v>
      </c>
      <c r="J12" s="107">
        <f>CommodityCo!J9-GlobalBankCo!J14</f>
        <v>0</v>
      </c>
      <c r="K12" s="107">
        <f>CommodityCo!K9-GlobalBankCo!K14</f>
        <v>0</v>
      </c>
      <c r="L12" s="107">
        <f>CommodityCo!L9-GlobalBankCo!L14</f>
        <v>0</v>
      </c>
      <c r="M12" s="107">
        <f>CommodityCo!M9-GlobalBankCo!M14</f>
        <v>0</v>
      </c>
    </row>
    <row r="13" spans="1:13" ht="15" customHeight="1" x14ac:dyDescent="0.3">
      <c r="A13" s="65" t="s">
        <v>893</v>
      </c>
      <c r="C13" s="108">
        <f>GlobalBankCo!C5-RepoCo!C6</f>
        <v>0</v>
      </c>
      <c r="D13" s="108">
        <f>GlobalBankCo!D5-RepoCo!D6</f>
        <v>0</v>
      </c>
      <c r="E13" s="108">
        <f>GlobalBankCo!E5-RepoCo!E6</f>
        <v>0</v>
      </c>
      <c r="F13" s="108">
        <f>GlobalBankCo!F5-RepoCo!F6</f>
        <v>0</v>
      </c>
      <c r="G13" s="108">
        <f>GlobalBankCo!G5-RepoCo!G6</f>
        <v>0</v>
      </c>
      <c r="H13" s="108">
        <f>GlobalBankCo!H5-RepoCo!H6</f>
        <v>0</v>
      </c>
      <c r="I13" s="108">
        <f>GlobalBankCo!I5-RepoCo!I6</f>
        <v>0</v>
      </c>
      <c r="J13" s="108">
        <f>GlobalBankCo!J5-RepoCo!J6</f>
        <v>0</v>
      </c>
      <c r="K13" s="108">
        <f>GlobalBankCo!K5-RepoCo!K6</f>
        <v>0</v>
      </c>
      <c r="L13" s="108">
        <f>GlobalBankCo!L5-RepoCo!L6</f>
        <v>0</v>
      </c>
      <c r="M13" s="108">
        <f>GlobalBankCo!M5-RepoCo!M6</f>
        <v>0</v>
      </c>
    </row>
    <row r="14" spans="1:13" ht="15" customHeight="1" x14ac:dyDescent="0.3">
      <c r="A14" s="65" t="s">
        <v>894</v>
      </c>
      <c r="C14" s="107">
        <f>RepoCo!C6-HedgeCo!C5</f>
        <v>0</v>
      </c>
      <c r="D14" s="107">
        <f>RepoCo!D6-HedgeCo!D5</f>
        <v>0</v>
      </c>
      <c r="E14" s="107">
        <f>RepoCo!E6-HedgeCo!E5</f>
        <v>0</v>
      </c>
      <c r="F14" s="107">
        <f>RepoCo!F6-HedgeCo!F5</f>
        <v>0</v>
      </c>
      <c r="G14" s="107">
        <f>RepoCo!G6-HedgeCo!G5</f>
        <v>0</v>
      </c>
      <c r="H14" s="107">
        <f>RepoCo!H6-HedgeCo!H5</f>
        <v>0</v>
      </c>
      <c r="I14" s="107">
        <f>RepoCo!I6-HedgeCo!I5</f>
        <v>0</v>
      </c>
      <c r="J14" s="107">
        <f>RepoCo!J6-HedgeCo!J5</f>
        <v>0</v>
      </c>
      <c r="K14" s="107">
        <f>RepoCo!K6-HedgeCo!K5</f>
        <v>0</v>
      </c>
      <c r="L14" s="107">
        <f>RepoCo!L6-HedgeCo!L5</f>
        <v>0</v>
      </c>
      <c r="M14" s="107">
        <f>RepoCo!M6-HedgeCo!M5</f>
        <v>0</v>
      </c>
    </row>
    <row r="15" spans="1:13" ht="15" customHeight="1" x14ac:dyDescent="0.3">
      <c r="A15" s="109" t="s">
        <v>895</v>
      </c>
      <c r="C15" s="108">
        <f>ClearCo!C11</f>
        <v>0</v>
      </c>
      <c r="D15" s="108">
        <f>ClearCo!D11</f>
        <v>0</v>
      </c>
      <c r="E15" s="108">
        <f>ClearCo!E11</f>
        <v>0</v>
      </c>
      <c r="F15" s="108">
        <f>ClearCo!F11</f>
        <v>0</v>
      </c>
      <c r="G15" s="108">
        <f>ClearCo!G11</f>
        <v>0</v>
      </c>
      <c r="H15" s="108">
        <f>ClearCo!H11</f>
        <v>0</v>
      </c>
      <c r="I15" s="108">
        <f>ClearCo!I11</f>
        <v>0</v>
      </c>
      <c r="J15" s="108">
        <f>ClearCo!J11</f>
        <v>0</v>
      </c>
      <c r="K15" s="108">
        <f>ClearCo!K11</f>
        <v>0</v>
      </c>
      <c r="L15" s="108">
        <f>ClearCo!L11</f>
        <v>0</v>
      </c>
      <c r="M15" s="108">
        <f>ClearCo!M11</f>
        <v>0</v>
      </c>
    </row>
    <row r="16" spans="1:13" ht="15" customHeight="1" x14ac:dyDescent="0.3">
      <c r="A16" s="8" t="s">
        <v>896</v>
      </c>
    </row>
    <row r="17" spans="1:13" ht="15" customHeight="1" x14ac:dyDescent="0.3">
      <c r="A17" s="110" t="s">
        <v>897</v>
      </c>
      <c r="C17" s="111">
        <f t="shared" ref="C17:M17" si="0">SUMPRODUCT((ISNUMBER(C5:C15))*(ABS(IF(ISNUMBER(C5:C15),C5:C15,0))&gt;0.01))</f>
        <v>0</v>
      </c>
      <c r="D17" s="111">
        <f t="shared" si="0"/>
        <v>0</v>
      </c>
      <c r="E17" s="111">
        <f t="shared" si="0"/>
        <v>0</v>
      </c>
      <c r="F17" s="111">
        <f t="shared" si="0"/>
        <v>0</v>
      </c>
      <c r="G17" s="111">
        <f t="shared" si="0"/>
        <v>0</v>
      </c>
      <c r="H17" s="111">
        <f t="shared" si="0"/>
        <v>0</v>
      </c>
      <c r="I17" s="111">
        <f t="shared" si="0"/>
        <v>0</v>
      </c>
      <c r="J17" s="111">
        <f t="shared" si="0"/>
        <v>0</v>
      </c>
      <c r="K17" s="111">
        <f t="shared" si="0"/>
        <v>0</v>
      </c>
      <c r="L17" s="111">
        <f t="shared" si="0"/>
        <v>0</v>
      </c>
      <c r="M17" s="111">
        <f t="shared" si="0"/>
        <v>0</v>
      </c>
    </row>
    <row r="19" spans="1:13" x14ac:dyDescent="0.3">
      <c r="A19" s="261" t="s">
        <v>898</v>
      </c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</row>
    <row r="20" spans="1:13" x14ac:dyDescent="0.3">
      <c r="A20" s="168" t="s">
        <v>899</v>
      </c>
      <c r="B20" s="170" t="s">
        <v>900</v>
      </c>
      <c r="C20" s="190">
        <f>ManuCo!C12+ProdServiceCo!C12+FinServCo!C15-HouseholdCo!C18</f>
        <v>0</v>
      </c>
      <c r="D20" s="190">
        <f>ManuCo!D12+ProdServiceCo!D12+FinServCo!D15-HouseholdCo!D18</f>
        <v>0</v>
      </c>
      <c r="E20" s="190">
        <f>ManuCo!E12+ProdServiceCo!E12+FinServCo!E15-HouseholdCo!E18</f>
        <v>0</v>
      </c>
      <c r="F20" s="190">
        <f>ManuCo!F12+ProdServiceCo!F12+FinServCo!F15-HouseholdCo!F18</f>
        <v>0</v>
      </c>
      <c r="G20" s="190">
        <f>ManuCo!G12+ProdServiceCo!G12+FinServCo!G15-HouseholdCo!G18</f>
        <v>0</v>
      </c>
      <c r="H20" s="190">
        <f>ManuCo!H12+ProdServiceCo!H12+FinServCo!H15-HouseholdCo!H18</f>
        <v>0</v>
      </c>
      <c r="I20" s="190">
        <f>ManuCo!I12+ProdServiceCo!I12+FinServCo!I15-HouseholdCo!I18</f>
        <v>0</v>
      </c>
      <c r="J20" s="190">
        <f>ManuCo!J12+ProdServiceCo!J12+FinServCo!J15-HouseholdCo!J18</f>
        <v>0</v>
      </c>
      <c r="K20" s="190">
        <f>ManuCo!K12+ProdServiceCo!K12+FinServCo!K15-HouseholdCo!K18</f>
        <v>0</v>
      </c>
      <c r="L20" s="190">
        <f>ManuCo!L12+ProdServiceCo!L12+FinServCo!L15-HouseholdCo!L18</f>
        <v>0</v>
      </c>
      <c r="M20" s="190">
        <f>ManuCo!M12+ProdServiceCo!M12+FinServCo!M15-HouseholdCo!M18</f>
        <v>0</v>
      </c>
    </row>
    <row r="21" spans="1:13" x14ac:dyDescent="0.3">
      <c r="A21" s="168" t="s">
        <v>901</v>
      </c>
      <c r="B21" s="170" t="s">
        <v>902</v>
      </c>
      <c r="C21" s="190">
        <f>(AmeriBankCo!C11+AmeriBankCo!C12)-(HouseholdCo!C7+ManuCo!C14*0.08+ProdServiceCo!C14*0.06)</f>
        <v>0</v>
      </c>
      <c r="D21" s="190">
        <f>(AmeriBankCo!D11+AmeriBankCo!D12)-(HouseholdCo!D7+ManuCo!D14*0.08+ProdServiceCo!D14*0.06)</f>
        <v>0</v>
      </c>
      <c r="E21" s="190">
        <f>(AmeriBankCo!E11+AmeriBankCo!E12)-(HouseholdCo!E7+ManuCo!E14*0.08+ProdServiceCo!E14*0.06)</f>
        <v>0</v>
      </c>
      <c r="F21" s="190">
        <f>(AmeriBankCo!F11+AmeriBankCo!F12)-(HouseholdCo!F7+ManuCo!F14*0.08+ProdServiceCo!F14*0.06)</f>
        <v>0</v>
      </c>
      <c r="G21" s="190">
        <f>(AmeriBankCo!G11+AmeriBankCo!G12)-(HouseholdCo!G7+ManuCo!G14*0.08+ProdServiceCo!G14*0.06)</f>
        <v>0</v>
      </c>
      <c r="H21" s="190">
        <f>(AmeriBankCo!H11+AmeriBankCo!H12)-(HouseholdCo!H7+ManuCo!H14*0.08+ProdServiceCo!H14*0.06)</f>
        <v>0</v>
      </c>
      <c r="I21" s="190">
        <f>(AmeriBankCo!I11+AmeriBankCo!I12)-(HouseholdCo!I7+ManuCo!I14*0.08+ProdServiceCo!I14*0.06)</f>
        <v>0</v>
      </c>
      <c r="J21" s="190">
        <f>(AmeriBankCo!J11+AmeriBankCo!J12)-(HouseholdCo!J7+ManuCo!J14*0.08+ProdServiceCo!J14*0.06)</f>
        <v>0</v>
      </c>
      <c r="K21" s="190">
        <f>(AmeriBankCo!K11+AmeriBankCo!K12)-(HouseholdCo!K7+ManuCo!K14*0.08+ProdServiceCo!K14*0.06)</f>
        <v>0</v>
      </c>
      <c r="L21" s="190">
        <f>(AmeriBankCo!L11+AmeriBankCo!L12)-(HouseholdCo!L7+ManuCo!L14*0.08+ProdServiceCo!L14*0.06)</f>
        <v>0</v>
      </c>
      <c r="M21" s="190">
        <f>(AmeriBankCo!M11+AmeriBankCo!M12)-(HouseholdCo!M7+ManuCo!M14*0.08+ProdServiceCo!M14*0.06)</f>
        <v>0</v>
      </c>
    </row>
    <row r="22" spans="1:13" x14ac:dyDescent="0.3">
      <c r="A22" s="168" t="s">
        <v>903</v>
      </c>
      <c r="B22" s="170" t="s">
        <v>904</v>
      </c>
      <c r="C22" s="190">
        <f>AmeriBankCo!C5-FinServCo!C14</f>
        <v>0</v>
      </c>
      <c r="D22" s="190">
        <f>AmeriBankCo!D5-FinServCo!D14</f>
        <v>0</v>
      </c>
      <c r="E22" s="190">
        <f>AmeriBankCo!E5-FinServCo!E14</f>
        <v>0</v>
      </c>
      <c r="F22" s="190">
        <f>AmeriBankCo!F5-FinServCo!F14</f>
        <v>0</v>
      </c>
      <c r="G22" s="190">
        <f>AmeriBankCo!G5-FinServCo!G14</f>
        <v>0</v>
      </c>
      <c r="H22" s="190">
        <f>AmeriBankCo!H5-FinServCo!H14</f>
        <v>0</v>
      </c>
      <c r="I22" s="190">
        <f>AmeriBankCo!I5-FinServCo!I14</f>
        <v>0</v>
      </c>
      <c r="J22" s="190">
        <f>AmeriBankCo!J5-FinServCo!J14</f>
        <v>0</v>
      </c>
      <c r="K22" s="190">
        <f>AmeriBankCo!K5-FinServCo!K14</f>
        <v>0</v>
      </c>
      <c r="L22" s="190">
        <f>AmeriBankCo!L5-FinServCo!L14</f>
        <v>0</v>
      </c>
      <c r="M22" s="190">
        <f>AmeriBankCo!M5-FinServCo!M14</f>
        <v>0</v>
      </c>
    </row>
    <row r="23" spans="1:13" x14ac:dyDescent="0.3">
      <c r="A23" s="168" t="s">
        <v>905</v>
      </c>
      <c r="B23" s="170" t="s">
        <v>906</v>
      </c>
      <c r="C23" s="190" t="e">
        <f ca="1">(GovCo!C12-HouseholdCo!C8)+(GovCo!C13-InsuranceCo!C5)+(GovCo!C14-FinServCo!C5)+(GovCo!C15-AmeriBankCo!C6)+(GovCo!C16-OtherBankCo!C5)</f>
        <v>#VALUE!</v>
      </c>
      <c r="D23" s="190" t="e">
        <f ca="1">(GovCo!D12-HouseholdCo!D8)+(GovCo!D13-InsuranceCo!D5)+(GovCo!D14-FinServCo!D5)+(GovCo!D15-AmeriBankCo!D6)+(GovCo!D16-OtherBankCo!D5)</f>
        <v>#VALUE!</v>
      </c>
      <c r="E23" s="190" t="e">
        <f ca="1">(GovCo!E12-HouseholdCo!E8)+(GovCo!E13-InsuranceCo!E5)+(GovCo!E14-FinServCo!E5)+(GovCo!E15-AmeriBankCo!E6)+(GovCo!E16-OtherBankCo!E5)</f>
        <v>#VALUE!</v>
      </c>
      <c r="F23" s="190" t="e">
        <f ca="1">(GovCo!F12-HouseholdCo!F8)+(GovCo!F13-InsuranceCo!F5)+(GovCo!F14-FinServCo!F5)+(GovCo!F15-AmeriBankCo!F6)+(GovCo!F16-OtherBankCo!F5)</f>
        <v>#VALUE!</v>
      </c>
      <c r="G23" s="190" t="e">
        <f ca="1">(GovCo!G12-HouseholdCo!G8)+(GovCo!G13-InsuranceCo!G5)+(GovCo!G14-FinServCo!G5)+(GovCo!G15-AmeriBankCo!G6)+(GovCo!G16-OtherBankCo!G5)</f>
        <v>#VALUE!</v>
      </c>
      <c r="H23" s="190" t="e">
        <f ca="1">(GovCo!H12-HouseholdCo!H8)+(GovCo!H13-InsuranceCo!H5)+(GovCo!H14-FinServCo!H5)+(GovCo!H15-AmeriBankCo!H6)+(GovCo!H16-OtherBankCo!H5)</f>
        <v>#VALUE!</v>
      </c>
      <c r="I23" s="190" t="e">
        <f ca="1">(GovCo!I12-HouseholdCo!I8)+(GovCo!I13-InsuranceCo!I5)+(GovCo!I14-FinServCo!I5)+(GovCo!I15-AmeriBankCo!I6)+(GovCo!I16-OtherBankCo!I5)</f>
        <v>#VALUE!</v>
      </c>
      <c r="J23" s="190" t="e">
        <f ca="1">(GovCo!J12-HouseholdCo!J8)+(GovCo!J13-InsuranceCo!J5)+(GovCo!J14-FinServCo!J5)+(GovCo!J15-AmeriBankCo!J6)+(GovCo!J16-OtherBankCo!J5)</f>
        <v>#VALUE!</v>
      </c>
      <c r="K23" s="190" t="e">
        <f ca="1">(GovCo!K12-HouseholdCo!K8)+(GovCo!K13-InsuranceCo!K5)+(GovCo!K14-FinServCo!K5)+(GovCo!K15-AmeriBankCo!K6)+(GovCo!K16-OtherBankCo!K5)</f>
        <v>#VALUE!</v>
      </c>
      <c r="L23" s="190" t="e">
        <f ca="1">(GovCo!L12-HouseholdCo!L8)+(GovCo!L13-InsuranceCo!L5)+(GovCo!L14-FinServCo!L5)+(GovCo!L15-AmeriBankCo!L6)+(GovCo!L16-OtherBankCo!L5)</f>
        <v>#VALUE!</v>
      </c>
      <c r="M23" s="190" t="e">
        <f ca="1">(GovCo!M12-HouseholdCo!M8)+(GovCo!M13-InsuranceCo!M5)+(GovCo!M14-FinServCo!M5)+(GovCo!M15-AmeriBankCo!M6)+(GovCo!M16-OtherBankCo!M5)</f>
        <v>#VALUE!</v>
      </c>
    </row>
    <row r="24" spans="1:13" x14ac:dyDescent="0.3">
      <c r="A24" s="168" t="s">
        <v>907</v>
      </c>
      <c r="B24" s="170" t="s">
        <v>908</v>
      </c>
      <c r="C24" s="190">
        <f>FedCo!C9-AmeriBankCo!C7</f>
        <v>0</v>
      </c>
      <c r="D24" s="190">
        <f>FedCo!D9-AmeriBankCo!D7</f>
        <v>0</v>
      </c>
      <c r="E24" s="190">
        <f>FedCo!E9-AmeriBankCo!E7</f>
        <v>0</v>
      </c>
      <c r="F24" s="190">
        <f>FedCo!F9-AmeriBankCo!F7</f>
        <v>0</v>
      </c>
      <c r="G24" s="190">
        <f>FedCo!G9-AmeriBankCo!G7</f>
        <v>0</v>
      </c>
      <c r="H24" s="190">
        <f>FedCo!H9-AmeriBankCo!H7</f>
        <v>0</v>
      </c>
      <c r="I24" s="190">
        <f>FedCo!I9-AmeriBankCo!I7</f>
        <v>0</v>
      </c>
      <c r="J24" s="190">
        <f>FedCo!J9-AmeriBankCo!J7</f>
        <v>0</v>
      </c>
      <c r="K24" s="190">
        <f>FedCo!K9-AmeriBankCo!K7</f>
        <v>0</v>
      </c>
      <c r="L24" s="190">
        <f>FedCo!L9-AmeriBankCo!L7</f>
        <v>0</v>
      </c>
      <c r="M24" s="190">
        <f>FedCo!M9-AmeriBankCo!M7</f>
        <v>0</v>
      </c>
    </row>
    <row r="25" spans="1:13" x14ac:dyDescent="0.3">
      <c r="A25" s="168" t="s">
        <v>909</v>
      </c>
      <c r="B25" s="170" t="s">
        <v>910</v>
      </c>
      <c r="C25" s="190">
        <f>FinServCo!C7-ASSUMPTIONS!C67*ASSUMPTIONS!C43</f>
        <v>0</v>
      </c>
      <c r="D25" s="190">
        <f>FinServCo!D7-ASSUMPTIONS!D67*ASSUMPTIONS!D43</f>
        <v>0</v>
      </c>
      <c r="E25" s="190">
        <f>FinServCo!E7-ASSUMPTIONS!E67*ASSUMPTIONS!E43</f>
        <v>0</v>
      </c>
      <c r="F25" s="190">
        <f>FinServCo!F7-ASSUMPTIONS!F67*ASSUMPTIONS!F43</f>
        <v>0</v>
      </c>
      <c r="G25" s="190">
        <f>FinServCo!G7-ASSUMPTIONS!G67*ASSUMPTIONS!G43</f>
        <v>0</v>
      </c>
      <c r="H25" s="190">
        <f>FinServCo!H7-ASSUMPTIONS!H67*ASSUMPTIONS!H43</f>
        <v>0</v>
      </c>
      <c r="I25" s="190">
        <f>FinServCo!I7-ASSUMPTIONS!I67*ASSUMPTIONS!I43</f>
        <v>0</v>
      </c>
      <c r="J25" s="190">
        <f>FinServCo!J7-ASSUMPTIONS!J67*ASSUMPTIONS!J43</f>
        <v>0</v>
      </c>
      <c r="K25" s="190">
        <f>FinServCo!K7-ASSUMPTIONS!K67*ASSUMPTIONS!K43</f>
        <v>0</v>
      </c>
      <c r="L25" s="190">
        <f>FinServCo!L7-ASSUMPTIONS!L67*ASSUMPTIONS!L43</f>
        <v>0</v>
      </c>
      <c r="M25" s="190">
        <f>FinServCo!M7-ASSUMPTIONS!M67*ASSUMPTIONS!M43</f>
        <v>0</v>
      </c>
    </row>
    <row r="26" spans="1:13" x14ac:dyDescent="0.3">
      <c r="A26" s="207" t="s">
        <v>911</v>
      </c>
      <c r="B26" s="208" t="s">
        <v>912</v>
      </c>
      <c r="C26" s="190" t="e">
        <f ca="1">GovCo!C18-GovCo!C9-GovCo!C10-GovCo!C11-GovCo!C12-GovCo!C13-GovCo!C14-GovCo!C15-GovCo!C16-GovCo!C17</f>
        <v>#VALUE!</v>
      </c>
      <c r="D26" s="190" t="e">
        <f ca="1">GovCo!D18-GovCo!D9-GovCo!D10-GovCo!D11-GovCo!D12-GovCo!D13-GovCo!D14-GovCo!D15-GovCo!D16-GovCo!D17</f>
        <v>#VALUE!</v>
      </c>
      <c r="E26" s="190" t="e">
        <f ca="1">GovCo!E18-GovCo!E9-GovCo!E10-GovCo!E11-GovCo!E12-GovCo!E13-GovCo!E14-GovCo!E15-GovCo!E16-GovCo!E17</f>
        <v>#VALUE!</v>
      </c>
      <c r="F26" s="190" t="e">
        <f ca="1">GovCo!F18-GovCo!F9-GovCo!F10-GovCo!F11-GovCo!F12-GovCo!F13-GovCo!F14-GovCo!F15-GovCo!F16-GovCo!F17</f>
        <v>#VALUE!</v>
      </c>
      <c r="G26" s="190" t="e">
        <f ca="1">GovCo!G18-GovCo!G9-GovCo!G10-GovCo!G11-GovCo!G12-GovCo!G13-GovCo!G14-GovCo!G15-GovCo!G16-GovCo!G17</f>
        <v>#VALUE!</v>
      </c>
      <c r="H26" s="190" t="e">
        <f ca="1">GovCo!H18-GovCo!H9-GovCo!H10-GovCo!H11-GovCo!H12-GovCo!H13-GovCo!H14-GovCo!H15-GovCo!H16-GovCo!H17</f>
        <v>#VALUE!</v>
      </c>
      <c r="I26" s="190" t="e">
        <f ca="1">GovCo!I18-GovCo!I9-GovCo!I10-GovCo!I11-GovCo!I12-GovCo!I13-GovCo!I14-GovCo!I15-GovCo!I16-GovCo!I17</f>
        <v>#VALUE!</v>
      </c>
      <c r="J26" s="190" t="e">
        <f ca="1">GovCo!J18-GovCo!J9-GovCo!J10-GovCo!J11-GovCo!J12-GovCo!J13-GovCo!J14-GovCo!J15-GovCo!J16-GovCo!J17</f>
        <v>#VALUE!</v>
      </c>
      <c r="K26" s="190" t="e">
        <f ca="1">GovCo!K18-GovCo!K9-GovCo!K10-GovCo!K11-GovCo!K12-GovCo!K13-GovCo!K14-GovCo!K15-GovCo!K16-GovCo!K17</f>
        <v>#VALUE!</v>
      </c>
      <c r="L26" s="190" t="e">
        <f ca="1">GovCo!L18-GovCo!L9-GovCo!L10-GovCo!L11-GovCo!L12-GovCo!L13-GovCo!L14-GovCo!L15-GovCo!L16-GovCo!L17</f>
        <v>#VALUE!</v>
      </c>
      <c r="M26" s="190" t="e">
        <f ca="1">GovCo!M18-GovCo!M9-GovCo!M10-GovCo!M11-GovCo!M12-GovCo!M13-GovCo!M14-GovCo!M15-GovCo!M16-GovCo!M17</f>
        <v>#VALUE!</v>
      </c>
    </row>
    <row r="27" spans="1:13" x14ac:dyDescent="0.3">
      <c r="A27" s="207" t="s">
        <v>913</v>
      </c>
      <c r="B27" s="208" t="s">
        <v>914</v>
      </c>
      <c r="C27" s="209">
        <f>IF(ISNUMBER(RepoCo!C4),RepoCo!C4,0)</f>
        <v>0</v>
      </c>
      <c r="D27" s="209">
        <f>IF(ISNUMBER(RepoCo!D4),RepoCo!D4,0)</f>
        <v>0</v>
      </c>
      <c r="E27" s="209">
        <f>IF(ISNUMBER(RepoCo!E4),RepoCo!E4,0)</f>
        <v>0</v>
      </c>
      <c r="F27" s="209">
        <f>IF(ISNUMBER(RepoCo!F4),RepoCo!F4,0)</f>
        <v>0</v>
      </c>
      <c r="G27" s="209">
        <f>IF(ISNUMBER(RepoCo!G4),RepoCo!G4,0)</f>
        <v>0</v>
      </c>
      <c r="H27" s="209">
        <f>IF(ISNUMBER(RepoCo!H4),RepoCo!H4,0)</f>
        <v>0</v>
      </c>
      <c r="I27" s="209">
        <f>IF(ISNUMBER(RepoCo!I4),RepoCo!I4,0)</f>
        <v>0</v>
      </c>
      <c r="J27" s="209">
        <f>IF(ISNUMBER(RepoCo!J4),RepoCo!J4,0)</f>
        <v>0</v>
      </c>
      <c r="K27" s="209">
        <f>IF(ISNUMBER(RepoCo!K4),RepoCo!K4,0)</f>
        <v>0</v>
      </c>
      <c r="L27" s="209">
        <f>IF(ISNUMBER(RepoCo!L4),RepoCo!L4,0)</f>
        <v>0</v>
      </c>
      <c r="M27" s="209">
        <f>IF(ISNUMBER(RepoCo!M4),RepoCo!M4,0)</f>
        <v>0</v>
      </c>
    </row>
    <row r="28" spans="1:13" x14ac:dyDescent="0.3">
      <c r="A28" s="207" t="s">
        <v>915</v>
      </c>
      <c r="B28" s="208" t="s">
        <v>916</v>
      </c>
      <c r="C28" s="209">
        <f>ClearCo!C11</f>
        <v>0</v>
      </c>
      <c r="D28" s="209">
        <f>ClearCo!D11</f>
        <v>0</v>
      </c>
      <c r="E28" s="209">
        <f>ClearCo!E11</f>
        <v>0</v>
      </c>
      <c r="F28" s="209">
        <f>ClearCo!F11</f>
        <v>0</v>
      </c>
      <c r="G28" s="209">
        <f>ClearCo!G11</f>
        <v>0</v>
      </c>
      <c r="H28" s="209">
        <f>ClearCo!H11</f>
        <v>0</v>
      </c>
      <c r="I28" s="209">
        <f>ClearCo!I11</f>
        <v>0</v>
      </c>
      <c r="J28" s="209">
        <f>ClearCo!J11</f>
        <v>0</v>
      </c>
      <c r="K28" s="209">
        <f>ClearCo!K11</f>
        <v>0</v>
      </c>
      <c r="L28" s="209">
        <f>ClearCo!L11</f>
        <v>0</v>
      </c>
      <c r="M28" s="209">
        <f>ClearCo!M11</f>
        <v>0</v>
      </c>
    </row>
    <row r="29" spans="1:13" x14ac:dyDescent="0.3">
      <c r="A29" s="207" t="s">
        <v>917</v>
      </c>
      <c r="B29" s="208" t="s">
        <v>918</v>
      </c>
      <c r="C29" s="209">
        <f>MIN(0,FinServCo!C5)</f>
        <v>0</v>
      </c>
      <c r="D29" s="209">
        <f>MIN(0,FinServCo!D5)</f>
        <v>0</v>
      </c>
      <c r="E29" s="209">
        <f>MIN(0,FinServCo!E5)</f>
        <v>0</v>
      </c>
      <c r="F29" s="209">
        <f>MIN(0,FinServCo!F5)</f>
        <v>0</v>
      </c>
      <c r="G29" s="209">
        <f>MIN(0,FinServCo!G5)</f>
        <v>0</v>
      </c>
      <c r="H29" s="209">
        <f>MIN(0,FinServCo!H5)</f>
        <v>0</v>
      </c>
      <c r="I29" s="209">
        <f>MIN(0,FinServCo!I5)</f>
        <v>0</v>
      </c>
      <c r="J29" s="209">
        <f>MIN(0,FinServCo!J5)</f>
        <v>0</v>
      </c>
      <c r="K29" s="209">
        <f>MIN(0,FinServCo!K5)</f>
        <v>0</v>
      </c>
      <c r="L29" s="209">
        <f>MIN(0,FinServCo!L5)</f>
        <v>0</v>
      </c>
      <c r="M29" s="209">
        <f>MIN(0,FinServCo!M5)</f>
        <v>0</v>
      </c>
    </row>
    <row r="30" spans="1:13" x14ac:dyDescent="0.3">
      <c r="A30" s="207" t="s">
        <v>919</v>
      </c>
      <c r="B30" s="208" t="s">
        <v>920</v>
      </c>
      <c r="C30" s="190">
        <v>0</v>
      </c>
      <c r="D30" s="190">
        <f>(HedgeCo!D4-HedgeCo!C4)+(FinServCo!D5-FinServCo!C5)+(AmeriBankCo!D6-AmeriBankCo!C6)+(AmeriCo!D10-AmeriCo!C10)</f>
        <v>-49.109999999999985</v>
      </c>
      <c r="E30" s="190">
        <f>(HedgeCo!E4-HedgeCo!D4)+(FinServCo!E5-FinServCo!D5)+(AmeriBankCo!E6-AmeriBankCo!D6)+(AmeriCo!E10-AmeriCo!D10)</f>
        <v>-40.890000000000015</v>
      </c>
      <c r="F30" s="190">
        <f>(HedgeCo!F4-HedgeCo!E4)+(FinServCo!F5-FinServCo!E5)+(AmeriBankCo!F6-AmeriBankCo!E6)+(AmeriCo!F10-AmeriCo!E10)</f>
        <v>16.907478000000026</v>
      </c>
      <c r="G30" s="190">
        <f>(HedgeCo!G4-HedgeCo!F4)+(FinServCo!G5-FinServCo!F5)+(AmeriBankCo!G6-AmeriBankCo!F6)+(AmeriCo!G10-AmeriCo!F10)</f>
        <v>45.262519080000004</v>
      </c>
      <c r="H30" s="190">
        <f>(HedgeCo!H4-HedgeCo!G4)+(FinServCo!H5-FinServCo!G5)+(AmeriBankCo!H6-AmeriBankCo!G6)+(AmeriCo!H10-AmeriCo!G10)</f>
        <v>62.890138256800014</v>
      </c>
      <c r="I30" s="190">
        <f>(HedgeCo!I4-HedgeCo!H4)+(FinServCo!I5-FinServCo!H5)+(AmeriBankCo!I6-AmeriBankCo!H6)+(AmeriCo!I10-AmeriCo!H10)</f>
        <v>132.80847449054409</v>
      </c>
      <c r="J30" s="190">
        <f>(HedgeCo!J4-HedgeCo!I4)+(FinServCo!J5-FinServCo!I5)+(AmeriBankCo!J6-AmeriBankCo!I6)+(AmeriCo!J10-AmeriCo!I10)</f>
        <v>135.77848511011166</v>
      </c>
      <c r="K30" s="190">
        <f>(HedgeCo!K4-HedgeCo!J4)+(FinServCo!K5-FinServCo!J5)+(AmeriBankCo!K6-AmeriBankCo!J6)+(AmeriCo!K10-AmeriCo!J10)</f>
        <v>180.33873758424284</v>
      </c>
      <c r="L30" s="190">
        <f>(HedgeCo!L4-HedgeCo!K4)+(FinServCo!L5-FinServCo!K5)+(AmeriBankCo!L6-AmeriBankCo!K6)+(AmeriCo!L10-AmeriCo!K10)</f>
        <v>174.8278493107141</v>
      </c>
      <c r="M30" s="190">
        <f>(HedgeCo!M4-HedgeCo!L4)+(FinServCo!M5-FinServCo!L5)+(AmeriBankCo!M6-AmeriBankCo!L6)+(AmeriCo!M10-AmeriCo!L10)</f>
        <v>93.768661993812543</v>
      </c>
    </row>
    <row r="31" spans="1:13" x14ac:dyDescent="0.3">
      <c r="A31" t="s">
        <v>921</v>
      </c>
      <c r="B31" t="s">
        <v>922</v>
      </c>
      <c r="C31" s="190">
        <f>AmeriBankCo!C9-(AmeriBankCo!C14+AmeriBankCo!C15)</f>
        <v>0</v>
      </c>
      <c r="D31" s="190">
        <f>AmeriBankCo!D9-(AmeriBankCo!D14+AmeriBankCo!D15)</f>
        <v>0</v>
      </c>
      <c r="E31" s="190">
        <f>AmeriBankCo!E9-(AmeriBankCo!E14+AmeriBankCo!E15)</f>
        <v>0</v>
      </c>
      <c r="F31" s="190">
        <f>AmeriBankCo!F9-(AmeriBankCo!F14+AmeriBankCo!F15)</f>
        <v>0</v>
      </c>
      <c r="G31" s="190">
        <f>AmeriBankCo!G9-(AmeriBankCo!G14+AmeriBankCo!G15)</f>
        <v>0</v>
      </c>
      <c r="H31" s="190">
        <f>AmeriBankCo!H9-(AmeriBankCo!H14+AmeriBankCo!H15)</f>
        <v>0</v>
      </c>
      <c r="I31" s="190">
        <f>AmeriBankCo!I9-(AmeriBankCo!I14+AmeriBankCo!I15)</f>
        <v>0</v>
      </c>
      <c r="J31" s="190">
        <f>AmeriBankCo!J9-(AmeriBankCo!J14+AmeriBankCo!J15)</f>
        <v>0</v>
      </c>
      <c r="K31" s="190">
        <f>AmeriBankCo!K9-(AmeriBankCo!K14+AmeriBankCo!K15)</f>
        <v>0</v>
      </c>
      <c r="L31" s="190">
        <f>AmeriBankCo!L9-(AmeriBankCo!L14+AmeriBankCo!L15)</f>
        <v>0</v>
      </c>
      <c r="M31" s="190">
        <f>AmeriBankCo!M9-(AmeriBankCo!M14+AmeriBankCo!M15)</f>
        <v>0</v>
      </c>
    </row>
    <row r="32" spans="1:13" x14ac:dyDescent="0.3">
      <c r="A32" t="s">
        <v>923</v>
      </c>
      <c r="B32" t="s">
        <v>924</v>
      </c>
      <c r="C32" s="190" t="e">
        <f ca="1">HouseholdCo!C9-(HouseholdCo!C13+HouseholdCo!C14)</f>
        <v>#VALUE!</v>
      </c>
      <c r="D32" s="190" t="e">
        <f ca="1">HouseholdCo!D9-(HouseholdCo!D13+HouseholdCo!D14)</f>
        <v>#VALUE!</v>
      </c>
      <c r="E32" s="190" t="e">
        <f ca="1">HouseholdCo!E9-(HouseholdCo!E13+HouseholdCo!E14)</f>
        <v>#VALUE!</v>
      </c>
      <c r="F32" s="190" t="e">
        <f ca="1">HouseholdCo!F9-(HouseholdCo!F13+HouseholdCo!F14)</f>
        <v>#VALUE!</v>
      </c>
      <c r="G32" s="190" t="e">
        <f ca="1">HouseholdCo!G9-(HouseholdCo!G13+HouseholdCo!G14)</f>
        <v>#VALUE!</v>
      </c>
      <c r="H32" s="190" t="e">
        <f ca="1">HouseholdCo!H9-(HouseholdCo!H13+HouseholdCo!H14)</f>
        <v>#VALUE!</v>
      </c>
      <c r="I32" s="190" t="e">
        <f ca="1">HouseholdCo!I9-(HouseholdCo!I13+HouseholdCo!I14)</f>
        <v>#VALUE!</v>
      </c>
      <c r="J32" s="190" t="e">
        <f ca="1">HouseholdCo!J9-(HouseholdCo!J13+HouseholdCo!J14)</f>
        <v>#VALUE!</v>
      </c>
      <c r="K32" s="190" t="e">
        <f ca="1">HouseholdCo!K9-(HouseholdCo!K13+HouseholdCo!K14)</f>
        <v>#VALUE!</v>
      </c>
      <c r="L32" s="190" t="e">
        <f ca="1">HouseholdCo!L9-(HouseholdCo!L13+HouseholdCo!L14)</f>
        <v>#VALUE!</v>
      </c>
      <c r="M32" s="190" t="e">
        <f ca="1">HouseholdCo!M9-(HouseholdCo!M13+HouseholdCo!M14)</f>
        <v>#VALUE!</v>
      </c>
    </row>
    <row r="33" spans="1:13" x14ac:dyDescent="0.3">
      <c r="A33" t="s">
        <v>925</v>
      </c>
      <c r="B33" t="s">
        <v>926</v>
      </c>
      <c r="C33" s="190">
        <f>AmeriBankCo!C8-(HouseholdCo!C11+HouseholdCo!C12+ManuCo!C9)</f>
        <v>0</v>
      </c>
      <c r="D33" s="190">
        <f>AmeriBankCo!D8-(HouseholdCo!D11+HouseholdCo!D12+ManuCo!D9)</f>
        <v>0</v>
      </c>
      <c r="E33" s="190">
        <f>AmeriBankCo!E8-(HouseholdCo!E11+HouseholdCo!E12+ManuCo!E9)</f>
        <v>0</v>
      </c>
      <c r="F33" s="190">
        <f>AmeriBankCo!F8-(HouseholdCo!F11+HouseholdCo!F12+ManuCo!F9)</f>
        <v>0</v>
      </c>
      <c r="G33" s="190">
        <f>AmeriBankCo!G8-(HouseholdCo!G11+HouseholdCo!G12+ManuCo!G9)</f>
        <v>0</v>
      </c>
      <c r="H33" s="190">
        <f>AmeriBankCo!H8-(HouseholdCo!H11+HouseholdCo!H12+ManuCo!H9)</f>
        <v>0</v>
      </c>
      <c r="I33" s="190">
        <f>AmeriBankCo!I8-(HouseholdCo!I11+HouseholdCo!I12+ManuCo!I9)</f>
        <v>0</v>
      </c>
      <c r="J33" s="190">
        <f>AmeriBankCo!J8-(HouseholdCo!J11+HouseholdCo!J12+ManuCo!J9)</f>
        <v>0</v>
      </c>
      <c r="K33" s="190">
        <f>AmeriBankCo!K8-(HouseholdCo!K11+HouseholdCo!K12+ManuCo!K9)</f>
        <v>0</v>
      </c>
      <c r="L33" s="190">
        <f>AmeriBankCo!L8-(HouseholdCo!L11+HouseholdCo!L12+ManuCo!L9)</f>
        <v>0</v>
      </c>
      <c r="M33" s="190">
        <f>AmeriBankCo!M8-(HouseholdCo!M11+HouseholdCo!M12+ManuCo!M9)</f>
        <v>0</v>
      </c>
    </row>
    <row r="34" spans="1:13" x14ac:dyDescent="0.3">
      <c r="A34" t="s">
        <v>927</v>
      </c>
      <c r="B34" t="s">
        <v>928</v>
      </c>
      <c r="C34" s="190">
        <f>FedCo!C9-AmeriBankCo!C7</f>
        <v>0</v>
      </c>
      <c r="D34" s="190">
        <f>FedCo!D9-AmeriBankCo!D7</f>
        <v>0</v>
      </c>
      <c r="E34" s="190">
        <f>FedCo!E9-AmeriBankCo!E7</f>
        <v>0</v>
      </c>
      <c r="F34" s="190">
        <f>FedCo!F9-AmeriBankCo!F7</f>
        <v>0</v>
      </c>
      <c r="G34" s="190">
        <f>FedCo!G9-AmeriBankCo!G7</f>
        <v>0</v>
      </c>
      <c r="H34" s="190">
        <f>FedCo!H9-AmeriBankCo!H7</f>
        <v>0</v>
      </c>
      <c r="I34" s="190">
        <f>FedCo!I9-AmeriBankCo!I7</f>
        <v>0</v>
      </c>
      <c r="J34" s="190">
        <f>FedCo!J9-AmeriBankCo!J7</f>
        <v>0</v>
      </c>
      <c r="K34" s="190">
        <f>FedCo!K9-AmeriBankCo!K7</f>
        <v>0</v>
      </c>
      <c r="L34" s="190">
        <f>FedCo!L9-AmeriBankCo!L7</f>
        <v>0</v>
      </c>
      <c r="M34" s="190">
        <f>FedCo!M9-AmeriBankCo!M7</f>
        <v>0</v>
      </c>
    </row>
    <row r="35" spans="1:13" x14ac:dyDescent="0.3">
      <c r="A35" t="s">
        <v>929</v>
      </c>
      <c r="B35" t="s">
        <v>930</v>
      </c>
      <c r="C35" s="190">
        <f>HouseholdCo!C5-(FinServCo!C9-FinServCo!C11-FinServCo!C12)</f>
        <v>0</v>
      </c>
      <c r="D35" s="190">
        <f>HouseholdCo!D5-(FinServCo!D9-FinServCo!D11-FinServCo!D12)</f>
        <v>0</v>
      </c>
      <c r="E35" s="190">
        <f>HouseholdCo!E5-(FinServCo!E9-FinServCo!E11-FinServCo!E12)</f>
        <v>0</v>
      </c>
      <c r="F35" s="190">
        <f>HouseholdCo!F5-(FinServCo!F9-FinServCo!F11-FinServCo!F12)</f>
        <v>0</v>
      </c>
      <c r="G35" s="190">
        <f>HouseholdCo!G5-(FinServCo!G9-FinServCo!G11-FinServCo!G12)</f>
        <v>0</v>
      </c>
      <c r="H35" s="190">
        <f>HouseholdCo!H5-(FinServCo!H9-FinServCo!H11-FinServCo!H12)</f>
        <v>0</v>
      </c>
      <c r="I35" s="190">
        <f>HouseholdCo!I5-(FinServCo!I9-FinServCo!I11-FinServCo!I12)</f>
        <v>0</v>
      </c>
      <c r="J35" s="190">
        <f>HouseholdCo!J5-(FinServCo!J9-FinServCo!J11-FinServCo!J12)</f>
        <v>0</v>
      </c>
      <c r="K35" s="190">
        <f>HouseholdCo!K5-(FinServCo!K9-FinServCo!K11-FinServCo!K12)</f>
        <v>0</v>
      </c>
      <c r="L35" s="190">
        <f>HouseholdCo!L5-(FinServCo!L9-FinServCo!L11-FinServCo!L12)</f>
        <v>0</v>
      </c>
      <c r="M35" s="190">
        <f>HouseholdCo!M5-(FinServCo!M9-FinServCo!M11-FinServCo!M12)</f>
        <v>0</v>
      </c>
    </row>
    <row r="36" spans="1:13" x14ac:dyDescent="0.3">
      <c r="A36" t="s">
        <v>931</v>
      </c>
      <c r="B36" t="s">
        <v>932</v>
      </c>
      <c r="C36" s="190" t="e">
        <f ca="1">ProdServiceCo!C9-(FinServCo!C6+HouseholdCo!C14*ASSUMPTIONS!C71)</f>
        <v>#VALUE!</v>
      </c>
      <c r="D36" s="190" t="e">
        <f ca="1">ProdServiceCo!D9-(FinServCo!D6+HouseholdCo!D14*ASSUMPTIONS!C71)</f>
        <v>#VALUE!</v>
      </c>
      <c r="E36" s="190" t="e">
        <f ca="1">ProdServiceCo!E9-(FinServCo!E6+HouseholdCo!E14*ASSUMPTIONS!C71)</f>
        <v>#VALUE!</v>
      </c>
      <c r="F36" s="190" t="e">
        <f ca="1">ProdServiceCo!F9-(FinServCo!F6+HouseholdCo!F14*ASSUMPTIONS!C71)</f>
        <v>#VALUE!</v>
      </c>
      <c r="G36" s="190" t="e">
        <f ca="1">ProdServiceCo!G9-(FinServCo!G6+HouseholdCo!G14*ASSUMPTIONS!C71)</f>
        <v>#VALUE!</v>
      </c>
      <c r="H36" s="190" t="e">
        <f ca="1">ProdServiceCo!H9-(FinServCo!H6+HouseholdCo!H14*ASSUMPTIONS!C71)</f>
        <v>#VALUE!</v>
      </c>
      <c r="I36" s="190" t="e">
        <f ca="1">ProdServiceCo!I9-(FinServCo!I6+HouseholdCo!I14*ASSUMPTIONS!C71)</f>
        <v>#VALUE!</v>
      </c>
      <c r="J36" s="190" t="e">
        <f ca="1">ProdServiceCo!J9-(FinServCo!J6+HouseholdCo!J14*ASSUMPTIONS!C71)</f>
        <v>#VALUE!</v>
      </c>
      <c r="K36" s="190" t="e">
        <f ca="1">ProdServiceCo!K9-(FinServCo!K6+HouseholdCo!K14*ASSUMPTIONS!C71)</f>
        <v>#VALUE!</v>
      </c>
      <c r="L36" s="190" t="e">
        <f ca="1">ProdServiceCo!L9-(FinServCo!L6+HouseholdCo!L14*ASSUMPTIONS!C71)</f>
        <v>#VALUE!</v>
      </c>
      <c r="M36" s="190" t="e">
        <f ca="1">ProdServiceCo!M9-(FinServCo!M6+HouseholdCo!M14*ASSUMPTIONS!C71)</f>
        <v>#VALUE!</v>
      </c>
    </row>
    <row r="37" spans="1:13" x14ac:dyDescent="0.3">
      <c r="A37" s="168" t="s">
        <v>933</v>
      </c>
      <c r="B37" s="208" t="s">
        <v>934</v>
      </c>
      <c r="C37" s="190">
        <f>FinServCo!C9-ProdServiceCo!C10</f>
        <v>0</v>
      </c>
      <c r="D37" s="190">
        <f>FinServCo!D9-ProdServiceCo!D10</f>
        <v>0</v>
      </c>
      <c r="E37" s="190">
        <f>FinServCo!E9-ProdServiceCo!E10</f>
        <v>0</v>
      </c>
      <c r="F37" s="190">
        <f>FinServCo!F9-ProdServiceCo!F10</f>
        <v>0</v>
      </c>
      <c r="G37" s="190">
        <f>FinServCo!G9-ProdServiceCo!G10</f>
        <v>0</v>
      </c>
      <c r="H37" s="190">
        <f>FinServCo!H9-ProdServiceCo!H10</f>
        <v>0</v>
      </c>
      <c r="I37" s="190">
        <f>FinServCo!I9-ProdServiceCo!I10</f>
        <v>0</v>
      </c>
      <c r="J37" s="190">
        <f>FinServCo!J9-ProdServiceCo!J10</f>
        <v>0</v>
      </c>
      <c r="K37" s="190">
        <f>FinServCo!K9-ProdServiceCo!K10</f>
        <v>0</v>
      </c>
      <c r="L37" s="190">
        <f>FinServCo!L9-ProdServiceCo!L10</f>
        <v>0</v>
      </c>
      <c r="M37" s="190">
        <f>FinServCo!M9-ProdServiceCo!M10</f>
        <v>0</v>
      </c>
    </row>
    <row r="38" spans="1:13" x14ac:dyDescent="0.3">
      <c r="A38" s="168" t="s">
        <v>935</v>
      </c>
      <c r="B38" s="208" t="s">
        <v>936</v>
      </c>
      <c r="C38" s="190">
        <f>FinServCo!C18-MIN(FinServCo!C16,FinServCo!C17)</f>
        <v>0</v>
      </c>
      <c r="D38" s="190">
        <f>FinServCo!D18-MIN(FinServCo!D16,FinServCo!D17)</f>
        <v>0</v>
      </c>
      <c r="E38" s="190">
        <f>FinServCo!E18-MIN(FinServCo!E16,FinServCo!E17)</f>
        <v>0</v>
      </c>
      <c r="F38" s="190">
        <f>FinServCo!F18-MIN(FinServCo!F16,FinServCo!F17)</f>
        <v>0</v>
      </c>
      <c r="G38" s="190">
        <f>FinServCo!G18-MIN(FinServCo!G16,FinServCo!G17)</f>
        <v>0</v>
      </c>
      <c r="H38" s="190">
        <f>FinServCo!H18-MIN(FinServCo!H16,FinServCo!H17)</f>
        <v>0</v>
      </c>
      <c r="I38" s="190">
        <f>FinServCo!I18-MIN(FinServCo!I16,FinServCo!I17)</f>
        <v>0</v>
      </c>
      <c r="J38" s="190">
        <f>FinServCo!J18-MIN(FinServCo!J16,FinServCo!J17)</f>
        <v>0</v>
      </c>
      <c r="K38" s="190">
        <f>FinServCo!K18-MIN(FinServCo!K16,FinServCo!K17)</f>
        <v>0</v>
      </c>
      <c r="L38" s="190">
        <f>FinServCo!L18-MIN(FinServCo!L16,FinServCo!L17)</f>
        <v>0</v>
      </c>
      <c r="M38" s="190">
        <f>FinServCo!M18-MIN(FinServCo!M16,FinServCo!M17)</f>
        <v>0</v>
      </c>
    </row>
    <row r="39" spans="1:13" x14ac:dyDescent="0.3">
      <c r="A39" s="168" t="s">
        <v>937</v>
      </c>
      <c r="B39" s="208" t="s">
        <v>938</v>
      </c>
      <c r="C39" s="190">
        <v>0</v>
      </c>
      <c r="D39" s="190">
        <v>0</v>
      </c>
      <c r="E39" s="190">
        <v>0</v>
      </c>
      <c r="F39" s="190">
        <v>0</v>
      </c>
      <c r="G39" s="190">
        <v>0</v>
      </c>
      <c r="H39" s="190">
        <v>0</v>
      </c>
      <c r="I39" s="190">
        <v>0</v>
      </c>
      <c r="J39" s="190">
        <v>0</v>
      </c>
      <c r="K39" s="190">
        <v>0</v>
      </c>
      <c r="L39" s="190">
        <v>0</v>
      </c>
      <c r="M39" s="190">
        <v>0</v>
      </c>
    </row>
    <row r="40" spans="1:13" x14ac:dyDescent="0.3">
      <c r="A40" s="168" t="s">
        <v>939</v>
      </c>
      <c r="B40" s="208" t="s">
        <v>940</v>
      </c>
      <c r="C40" s="190">
        <v>0</v>
      </c>
      <c r="D40" s="190" t="e">
        <f ca="1">((HedgeCo!D4-HedgeCo!C4)+(FinServCo!D5-FinServCo!C5)+(AmeriBankCo!D6-AmeriBankCo!C6)+(AmeriCo!D10-AmeriCo!C10)+(HouseholdCo!D8-HouseholdCo!C8)+(InsuranceCo!D5-InsuranceCo!C5)+(OtherBankCo!D5-OtherBankCo!C5))</f>
        <v>#VALUE!</v>
      </c>
      <c r="E40" s="190" t="e">
        <f ca="1">((HedgeCo!E4-HedgeCo!D4)+(FinServCo!E5-FinServCo!D5)+(AmeriBankCo!E6-AmeriBankCo!D6)+(AmeriCo!E10-AmeriCo!D10)+(HouseholdCo!E8-HouseholdCo!D8)+(InsuranceCo!E5-InsuranceCo!D5)+(OtherBankCo!E5-OtherBankCo!D5))</f>
        <v>#VALUE!</v>
      </c>
      <c r="F40" s="190" t="e">
        <f ca="1">((HedgeCo!F4-HedgeCo!E4)+(FinServCo!F5-FinServCo!E5)+(AmeriBankCo!F6-AmeriBankCo!E6)+(AmeriCo!F10-AmeriCo!E10)+(HouseholdCo!F8-HouseholdCo!E8)+(InsuranceCo!F5-InsuranceCo!E5)+(OtherBankCo!F5-OtherBankCo!E5))</f>
        <v>#VALUE!</v>
      </c>
      <c r="G40" s="190" t="e">
        <f ca="1">((HedgeCo!G4-HedgeCo!F4)+(FinServCo!G5-FinServCo!F5)+(AmeriBankCo!G6-AmeriBankCo!F6)+(AmeriCo!G10-AmeriCo!F10)+(HouseholdCo!G8-HouseholdCo!F8)+(InsuranceCo!G5-InsuranceCo!F5)+(OtherBankCo!G5-OtherBankCo!F5))</f>
        <v>#VALUE!</v>
      </c>
      <c r="H40" s="190" t="e">
        <f ca="1">((HedgeCo!H4-HedgeCo!G4)+(FinServCo!H5-FinServCo!G5)+(AmeriBankCo!H6-AmeriBankCo!G6)+(AmeriCo!H10-AmeriCo!G10)+(HouseholdCo!H8-HouseholdCo!G8)+(InsuranceCo!H5-InsuranceCo!G5)+(OtherBankCo!H5-OtherBankCo!G5))</f>
        <v>#VALUE!</v>
      </c>
      <c r="I40" s="190" t="e">
        <f ca="1">((HedgeCo!I4-HedgeCo!H4)+(FinServCo!I5-FinServCo!H5)+(AmeriBankCo!I6-AmeriBankCo!H6)+(AmeriCo!I10-AmeriCo!H10)+(HouseholdCo!I8-HouseholdCo!H8)+(InsuranceCo!I5-InsuranceCo!H5)+(OtherBankCo!I5-OtherBankCo!H5))</f>
        <v>#VALUE!</v>
      </c>
      <c r="J40" s="190" t="e">
        <f ca="1">((HedgeCo!J4-HedgeCo!I4)+(FinServCo!J5-FinServCo!I5)+(AmeriBankCo!J6-AmeriBankCo!I6)+(AmeriCo!J10-AmeriCo!I10)+(HouseholdCo!J8-HouseholdCo!I8)+(InsuranceCo!J5-InsuranceCo!I5)+(OtherBankCo!J5-OtherBankCo!I5))</f>
        <v>#VALUE!</v>
      </c>
      <c r="K40" s="190" t="e">
        <f ca="1">((HedgeCo!K4-HedgeCo!J4)+(FinServCo!K5-FinServCo!J5)+(AmeriBankCo!K6-AmeriBankCo!J6)+(AmeriCo!K10-AmeriCo!J10)+(HouseholdCo!K8-HouseholdCo!J8)+(InsuranceCo!K5-InsuranceCo!J5)+(OtherBankCo!K5-OtherBankCo!J5))</f>
        <v>#VALUE!</v>
      </c>
      <c r="L40" s="190" t="e">
        <f ca="1">((HedgeCo!L4-HedgeCo!K4)+(FinServCo!L5-FinServCo!K5)+(AmeriBankCo!L6-AmeriBankCo!K6)+(AmeriCo!L10-AmeriCo!K10)+(HouseholdCo!L8-HouseholdCo!K8)+(InsuranceCo!L5-InsuranceCo!K5)+(OtherBankCo!L5-OtherBankCo!K5))</f>
        <v>#VALUE!</v>
      </c>
      <c r="M40" s="190" t="e">
        <f ca="1">((HedgeCo!M4-HedgeCo!L4)+(FinServCo!M5-FinServCo!L5)+(AmeriBankCo!M6-AmeriBankCo!L6)+(AmeriCo!M10-AmeriCo!L10)+(HouseholdCo!M8-HouseholdCo!L8)+(InsuranceCo!M5-InsuranceCo!L5)+(OtherBankCo!M5-OtherBankCo!L5))</f>
        <v>#VALUE!</v>
      </c>
    </row>
    <row r="41" spans="1:13" x14ac:dyDescent="0.3">
      <c r="A41" s="168" t="s">
        <v>941</v>
      </c>
      <c r="B41" s="208" t="s">
        <v>942</v>
      </c>
      <c r="C41" s="238">
        <f>MAX(0,HedgeCo!C4-ASSUMPTIONS!C70-(60+30+100))</f>
        <v>0</v>
      </c>
      <c r="D41" s="238">
        <f>MAX(0,HedgeCo!D4-ASSUMPTIONS!C70-(60+30+100))</f>
        <v>0</v>
      </c>
      <c r="E41" s="238">
        <f>MAX(0,HedgeCo!E4-ASSUMPTIONS!C70-(60+30+100))</f>
        <v>0</v>
      </c>
      <c r="F41" s="238">
        <f>MAX(0,HedgeCo!F4-ASSUMPTIONS!C70-(60+30+100))</f>
        <v>0</v>
      </c>
      <c r="G41" s="238">
        <f>MAX(0,HedgeCo!G4-ASSUMPTIONS!C70-(60+30+100))</f>
        <v>0</v>
      </c>
      <c r="H41" s="238">
        <f>MAX(0,HedgeCo!H4-ASSUMPTIONS!C70-(60+30+100))</f>
        <v>35.060135336800045</v>
      </c>
      <c r="I41" s="238">
        <f>MAX(0,HedgeCo!I4-ASSUMPTIONS!C70-(60+30+100))</f>
        <v>167.86860982734413</v>
      </c>
      <c r="J41" s="238">
        <f>MAX(0,HedgeCo!J4-ASSUMPTIONS!C70-(60+30+100))</f>
        <v>303.64709493745579</v>
      </c>
      <c r="K41" s="238">
        <f>MAX(0,HedgeCo!K4-ASSUMPTIONS!C70-(60+30+100))</f>
        <v>483.98583252169863</v>
      </c>
      <c r="L41" s="238">
        <f>MAX(0,HedgeCo!L4-ASSUMPTIONS!C70-(60+30+100))</f>
        <v>658.81368183241273</v>
      </c>
      <c r="M41" s="238">
        <f>MAX(0,HedgeCo!M4-ASSUMPTIONS!C70-(60+30+100))</f>
        <v>752.58234382622527</v>
      </c>
    </row>
    <row r="42" spans="1:13" x14ac:dyDescent="0.3">
      <c r="A42" s="237" t="s">
        <v>943</v>
      </c>
      <c r="B42" s="208" t="s">
        <v>944</v>
      </c>
      <c r="C42" s="238" t="e">
        <f ca="1">MIN(0,OtherBankCo!C5)</f>
        <v>#VALUE!</v>
      </c>
      <c r="D42" s="238" t="e">
        <f ca="1">MIN(0,OtherBankCo!D5)</f>
        <v>#VALUE!</v>
      </c>
      <c r="E42" s="238" t="e">
        <f ca="1">MIN(0,OtherBankCo!E5)</f>
        <v>#VALUE!</v>
      </c>
      <c r="F42" s="238" t="e">
        <f ca="1">MIN(0,OtherBankCo!F5)</f>
        <v>#VALUE!</v>
      </c>
      <c r="G42" s="238" t="e">
        <f ca="1">MIN(0,OtherBankCo!G5)</f>
        <v>#VALUE!</v>
      </c>
      <c r="H42" s="238" t="e">
        <f ca="1">MIN(0,OtherBankCo!H5)</f>
        <v>#VALUE!</v>
      </c>
      <c r="I42" s="238" t="e">
        <f ca="1">MIN(0,OtherBankCo!I5)</f>
        <v>#VALUE!</v>
      </c>
      <c r="J42" s="238" t="e">
        <f ca="1">MIN(0,OtherBankCo!J5)</f>
        <v>#VALUE!</v>
      </c>
      <c r="K42" s="238" t="e">
        <f ca="1">MIN(0,OtherBankCo!K5)</f>
        <v>#VALUE!</v>
      </c>
      <c r="L42" s="238" t="e">
        <f ca="1">MIN(0,OtherBankCo!L5)</f>
        <v>#VALUE!</v>
      </c>
      <c r="M42" s="238" t="e">
        <f ca="1">MIN(0,OtherBankCo!M5)</f>
        <v>#VALUE!</v>
      </c>
    </row>
    <row r="43" spans="1:13" x14ac:dyDescent="0.3">
      <c r="A43" s="168" t="s">
        <v>945</v>
      </c>
      <c r="B43" s="208" t="s">
        <v>946</v>
      </c>
      <c r="C43" s="190" t="e">
        <f ca="1">HouseholdCo!C8-GovCo!C12</f>
        <v>#VALUE!</v>
      </c>
      <c r="D43" s="190" t="e">
        <f ca="1">HouseholdCo!D8-GovCo!D12</f>
        <v>#VALUE!</v>
      </c>
      <c r="E43" s="190" t="e">
        <f ca="1">HouseholdCo!E8-GovCo!E12</f>
        <v>#VALUE!</v>
      </c>
      <c r="F43" s="190" t="e">
        <f ca="1">HouseholdCo!F8-GovCo!F12</f>
        <v>#VALUE!</v>
      </c>
      <c r="G43" s="190" t="e">
        <f ca="1">HouseholdCo!G8-GovCo!G12</f>
        <v>#VALUE!</v>
      </c>
      <c r="H43" s="190" t="e">
        <f ca="1">HouseholdCo!H8-GovCo!H12</f>
        <v>#VALUE!</v>
      </c>
      <c r="I43" s="190" t="e">
        <f ca="1">HouseholdCo!I8-GovCo!I12</f>
        <v>#VALUE!</v>
      </c>
      <c r="J43" s="190" t="e">
        <f ca="1">HouseholdCo!J8-GovCo!J12</f>
        <v>#VALUE!</v>
      </c>
      <c r="K43" s="190" t="e">
        <f ca="1">HouseholdCo!K8-GovCo!K12</f>
        <v>#VALUE!</v>
      </c>
      <c r="L43" s="190" t="e">
        <f ca="1">HouseholdCo!L8-GovCo!L12</f>
        <v>#VALUE!</v>
      </c>
      <c r="M43" s="190" t="e">
        <f ca="1">HouseholdCo!M8-GovCo!M12</f>
        <v>#VALUE!</v>
      </c>
    </row>
    <row r="44" spans="1:13" x14ac:dyDescent="0.3">
      <c r="A44" s="168" t="s">
        <v>947</v>
      </c>
      <c r="B44" s="208" t="s">
        <v>948</v>
      </c>
      <c r="C44" s="190" t="e">
        <f ca="1">InsuranceCo!C5-GovCo!C13</f>
        <v>#VALUE!</v>
      </c>
      <c r="D44" s="190" t="e">
        <f ca="1">InsuranceCo!D5-GovCo!D13</f>
        <v>#VALUE!</v>
      </c>
      <c r="E44" s="190" t="e">
        <f ca="1">InsuranceCo!E5-GovCo!E13</f>
        <v>#VALUE!</v>
      </c>
      <c r="F44" s="190" t="e">
        <f ca="1">InsuranceCo!F5-GovCo!F13</f>
        <v>#VALUE!</v>
      </c>
      <c r="G44" s="190" t="e">
        <f ca="1">InsuranceCo!G5-GovCo!G13</f>
        <v>#VALUE!</v>
      </c>
      <c r="H44" s="190" t="e">
        <f ca="1">InsuranceCo!H5-GovCo!H13</f>
        <v>#VALUE!</v>
      </c>
      <c r="I44" s="190" t="e">
        <f ca="1">InsuranceCo!I5-GovCo!I13</f>
        <v>#VALUE!</v>
      </c>
      <c r="J44" s="190" t="e">
        <f ca="1">InsuranceCo!J5-GovCo!J13</f>
        <v>#VALUE!</v>
      </c>
      <c r="K44" s="190" t="e">
        <f ca="1">InsuranceCo!K5-GovCo!K13</f>
        <v>#VALUE!</v>
      </c>
      <c r="L44" s="190" t="e">
        <f ca="1">InsuranceCo!L5-GovCo!L13</f>
        <v>#VALUE!</v>
      </c>
      <c r="M44" s="190" t="e">
        <f ca="1">InsuranceCo!M5-GovCo!M13</f>
        <v>#VALUE!</v>
      </c>
    </row>
    <row r="45" spans="1:13" x14ac:dyDescent="0.3">
      <c r="A45" s="168" t="s">
        <v>949</v>
      </c>
      <c r="B45" s="208" t="s">
        <v>950</v>
      </c>
      <c r="C45" s="190" t="e">
        <f ca="1">OtherBankCo!C5-GovCo!C16</f>
        <v>#VALUE!</v>
      </c>
      <c r="D45" s="190" t="e">
        <f ca="1">OtherBankCo!D5-GovCo!D16</f>
        <v>#VALUE!</v>
      </c>
      <c r="E45" s="190" t="e">
        <f ca="1">OtherBankCo!E5-GovCo!E16</f>
        <v>#VALUE!</v>
      </c>
      <c r="F45" s="190" t="e">
        <f ca="1">OtherBankCo!F5-GovCo!F16</f>
        <v>#VALUE!</v>
      </c>
      <c r="G45" s="190" t="e">
        <f ca="1">OtherBankCo!G5-GovCo!G16</f>
        <v>#VALUE!</v>
      </c>
      <c r="H45" s="190" t="e">
        <f ca="1">OtherBankCo!H5-GovCo!H16</f>
        <v>#VALUE!</v>
      </c>
      <c r="I45" s="190" t="e">
        <f ca="1">OtherBankCo!I5-GovCo!I16</f>
        <v>#VALUE!</v>
      </c>
      <c r="J45" s="190" t="e">
        <f ca="1">OtherBankCo!J5-GovCo!J16</f>
        <v>#VALUE!</v>
      </c>
      <c r="K45" s="190" t="e">
        <f ca="1">OtherBankCo!K5-GovCo!K16</f>
        <v>#VALUE!</v>
      </c>
      <c r="L45" s="190" t="e">
        <f ca="1">OtherBankCo!L5-GovCo!L16</f>
        <v>#VALUE!</v>
      </c>
      <c r="M45" s="190" t="e">
        <f ca="1">OtherBankCo!M5-GovCo!M16</f>
        <v>#VALUE!</v>
      </c>
    </row>
    <row r="46" spans="1:13" x14ac:dyDescent="0.3">
      <c r="A46" s="168" t="s">
        <v>951</v>
      </c>
      <c r="B46" s="208" t="s">
        <v>952</v>
      </c>
      <c r="C46" s="190" t="e">
        <f ca="1">GovCo!C18-(GovCo!C9+GovCo!C10+GovCo!C11+GovCo!C12+GovCo!C13+GovCo!C14+GovCo!C15+GovCo!C16+GovCo!C17)</f>
        <v>#VALUE!</v>
      </c>
      <c r="D46" s="190" t="e">
        <f ca="1">GovCo!D18-(GovCo!D9+GovCo!D10+GovCo!D11+GovCo!D12+GovCo!D13+GovCo!D14+GovCo!D15+GovCo!D16+GovCo!D17)</f>
        <v>#VALUE!</v>
      </c>
      <c r="E46" s="190" t="e">
        <f ca="1">GovCo!E18-(GovCo!E9+GovCo!E10+GovCo!E11+GovCo!E12+GovCo!E13+GovCo!E14+GovCo!E15+GovCo!E16+GovCo!E17)</f>
        <v>#VALUE!</v>
      </c>
      <c r="F46" s="190" t="e">
        <f ca="1">GovCo!F18-(GovCo!F9+GovCo!F10+GovCo!F11+GovCo!F12+GovCo!F13+GovCo!F14+GovCo!F15+GovCo!F16+GovCo!F17)</f>
        <v>#VALUE!</v>
      </c>
      <c r="G46" s="190" t="e">
        <f ca="1">GovCo!G18-(GovCo!G9+GovCo!G10+GovCo!G11+GovCo!G12+GovCo!G13+GovCo!G14+GovCo!G15+GovCo!G16+GovCo!G17)</f>
        <v>#VALUE!</v>
      </c>
      <c r="H46" s="190" t="e">
        <f ca="1">GovCo!H18-(GovCo!H9+GovCo!H10+GovCo!H11+GovCo!H12+GovCo!H13+GovCo!H14+GovCo!H15+GovCo!H16+GovCo!H17)</f>
        <v>#VALUE!</v>
      </c>
      <c r="I46" s="190" t="e">
        <f ca="1">GovCo!I18-(GovCo!I9+GovCo!I10+GovCo!I11+GovCo!I12+GovCo!I13+GovCo!I14+GovCo!I15+GovCo!I16+GovCo!I17)</f>
        <v>#VALUE!</v>
      </c>
      <c r="J46" s="190" t="e">
        <f ca="1">GovCo!J18-(GovCo!J9+GovCo!J10+GovCo!J11+GovCo!J12+GovCo!J13+GovCo!J14+GovCo!J15+GovCo!J16+GovCo!J17)</f>
        <v>#VALUE!</v>
      </c>
      <c r="K46" s="190" t="e">
        <f ca="1">GovCo!K18-(GovCo!K9+GovCo!K10+GovCo!K11+GovCo!K12+GovCo!K13+GovCo!K14+GovCo!K15+GovCo!K16+GovCo!K17)</f>
        <v>#VALUE!</v>
      </c>
      <c r="L46" s="190" t="e">
        <f ca="1">GovCo!L18-(GovCo!L9+GovCo!L10+GovCo!L11+GovCo!L12+GovCo!L13+GovCo!L14+GovCo!L15+GovCo!L16+GovCo!L17)</f>
        <v>#VALUE!</v>
      </c>
      <c r="M46" s="190" t="e">
        <f ca="1">GovCo!M18-(GovCo!M9+GovCo!M10+GovCo!M11+GovCo!M12+GovCo!M13+GovCo!M14+GovCo!M15+GovCo!M16+GovCo!M17)</f>
        <v>#VALUE!</v>
      </c>
    </row>
    <row r="47" spans="1:13" x14ac:dyDescent="0.3">
      <c r="A47" s="168" t="s">
        <v>953</v>
      </c>
      <c r="B47" s="208" t="s">
        <v>954</v>
      </c>
      <c r="C47" s="190" t="e">
        <f ca="1">IF(GovCo!C18=0,"-",GovCo!C17/GovCo!C18)</f>
        <v>#VALUE!</v>
      </c>
      <c r="D47" s="190" t="e">
        <f ca="1">IF(GovCo!D18=0,"-",GovCo!D17/GovCo!D18)</f>
        <v>#VALUE!</v>
      </c>
      <c r="E47" s="190" t="e">
        <f ca="1">IF(GovCo!E18=0,"-",GovCo!E17/GovCo!E18)</f>
        <v>#VALUE!</v>
      </c>
      <c r="F47" s="190" t="e">
        <f ca="1">IF(GovCo!F18=0,"-",GovCo!F17/GovCo!F18)</f>
        <v>#VALUE!</v>
      </c>
      <c r="G47" s="190" t="e">
        <f ca="1">IF(GovCo!G18=0,"-",GovCo!G17/GovCo!G18)</f>
        <v>#VALUE!</v>
      </c>
      <c r="H47" s="190" t="e">
        <f ca="1">IF(GovCo!H18=0,"-",GovCo!H17/GovCo!H18)</f>
        <v>#VALUE!</v>
      </c>
      <c r="I47" s="190" t="e">
        <f ca="1">IF(GovCo!I18=0,"-",GovCo!I17/GovCo!I18)</f>
        <v>#VALUE!</v>
      </c>
      <c r="J47" s="190" t="e">
        <f ca="1">IF(GovCo!J18=0,"-",GovCo!J17/GovCo!J18)</f>
        <v>#VALUE!</v>
      </c>
      <c r="K47" s="190" t="e">
        <f ca="1">IF(GovCo!K18=0,"-",GovCo!K17/GovCo!K18)</f>
        <v>#VALUE!</v>
      </c>
      <c r="L47" s="190" t="e">
        <f ca="1">IF(GovCo!L18=0,"-",GovCo!L17/GovCo!L18)</f>
        <v>#VALUE!</v>
      </c>
      <c r="M47" s="190" t="e">
        <f ca="1">IF(GovCo!M18=0,"-",GovCo!M17/GovCo!M18)</f>
        <v>#VALUE!</v>
      </c>
    </row>
    <row r="48" spans="1:13" x14ac:dyDescent="0.3">
      <c r="A48" s="168" t="s">
        <v>955</v>
      </c>
      <c r="B48" s="208" t="s">
        <v>956</v>
      </c>
      <c r="C48" s="190">
        <f>0</f>
        <v>0</v>
      </c>
      <c r="D48" s="190" t="e">
        <f ca="1">((HedgeCo!D4-HedgeCo!C4)+(FinServCo!D5-FinServCo!C5)+(AmeriBankCo!D6-AmeriBankCo!C6)+(AmeriCo!D10-AmeriCo!C10)+(HouseholdCo!D8-HouseholdCo!C8)+(InsuranceCo!D5-InsuranceCo!C5)+(OtherBankCo!D5-OtherBankCo!C5))</f>
        <v>#VALUE!</v>
      </c>
      <c r="E48" s="190" t="e">
        <f ca="1">((HedgeCo!E4-HedgeCo!D4)+(FinServCo!E5-FinServCo!D5)+(AmeriBankCo!E6-AmeriBankCo!D6)+(AmeriCo!E10-AmeriCo!D10)+(HouseholdCo!E8-HouseholdCo!D8)+(InsuranceCo!E5-InsuranceCo!D5)+(OtherBankCo!E5-OtherBankCo!D5))</f>
        <v>#VALUE!</v>
      </c>
      <c r="F48" s="190" t="e">
        <f ca="1">((HedgeCo!F4-HedgeCo!E4)+(FinServCo!F5-FinServCo!E5)+(AmeriBankCo!F6-AmeriBankCo!E6)+(AmeriCo!F10-AmeriCo!E10)+(HouseholdCo!F8-HouseholdCo!E8)+(InsuranceCo!F5-InsuranceCo!E5)+(OtherBankCo!F5-OtherBankCo!E5))</f>
        <v>#VALUE!</v>
      </c>
      <c r="G48" s="190" t="e">
        <f ca="1">((HedgeCo!G4-HedgeCo!F4)+(FinServCo!G5-FinServCo!F5)+(AmeriBankCo!G6-AmeriBankCo!F6)+(AmeriCo!G10-AmeriCo!F10)+(HouseholdCo!G8-HouseholdCo!F8)+(InsuranceCo!G5-InsuranceCo!F5)+(OtherBankCo!G5-OtherBankCo!F5))</f>
        <v>#VALUE!</v>
      </c>
      <c r="H48" s="190" t="e">
        <f ca="1">((HedgeCo!H4-HedgeCo!G4)+(FinServCo!H5-FinServCo!G5)+(AmeriBankCo!H6-AmeriBankCo!G6)+(AmeriCo!H10-AmeriCo!G10)+(HouseholdCo!H8-HouseholdCo!G8)+(InsuranceCo!H5-InsuranceCo!G5)+(OtherBankCo!H5-OtherBankCo!G5))</f>
        <v>#VALUE!</v>
      </c>
      <c r="I48" s="190" t="e">
        <f ca="1">((HedgeCo!I4-HedgeCo!H4)+(FinServCo!I5-FinServCo!H5)+(AmeriBankCo!I6-AmeriBankCo!H6)+(AmeriCo!I10-AmeriCo!H10)+(HouseholdCo!I8-HouseholdCo!H8)+(InsuranceCo!I5-InsuranceCo!H5)+(OtherBankCo!I5-OtherBankCo!H5))</f>
        <v>#VALUE!</v>
      </c>
      <c r="J48" s="190" t="e">
        <f ca="1">((HedgeCo!J4-HedgeCo!I4)+(FinServCo!J5-FinServCo!I5)+(AmeriBankCo!J6-AmeriBankCo!I6)+(AmeriCo!J10-AmeriCo!I10)+(HouseholdCo!J8-HouseholdCo!I8)+(InsuranceCo!J5-InsuranceCo!I5)+(OtherBankCo!J5-OtherBankCo!I5))</f>
        <v>#VALUE!</v>
      </c>
      <c r="K48" s="190" t="e">
        <f ca="1">((HedgeCo!K4-HedgeCo!J4)+(FinServCo!K5-FinServCo!J5)+(AmeriBankCo!K6-AmeriBankCo!J6)+(AmeriCo!K10-AmeriCo!J10)+(HouseholdCo!K8-HouseholdCo!J8)+(InsuranceCo!K5-InsuranceCo!J5)+(OtherBankCo!K5-OtherBankCo!J5))</f>
        <v>#VALUE!</v>
      </c>
      <c r="L48" s="190" t="e">
        <f ca="1">((HedgeCo!L4-HedgeCo!K4)+(FinServCo!L5-FinServCo!K5)+(AmeriBankCo!L6-AmeriBankCo!K6)+(AmeriCo!L10-AmeriCo!K10)+(HouseholdCo!L8-HouseholdCo!K8)+(InsuranceCo!L5-InsuranceCo!K5)+(OtherBankCo!L5-OtherBankCo!K5))</f>
        <v>#VALUE!</v>
      </c>
      <c r="M48" s="190" t="e">
        <f ca="1">((HedgeCo!M4-HedgeCo!L4)+(FinServCo!M5-FinServCo!L5)+(AmeriBankCo!M6-AmeriBankCo!L6)+(AmeriCo!M10-AmeriCo!L10)+(HouseholdCo!M8-HouseholdCo!L8)+(InsuranceCo!M5-InsuranceCo!L5)+(OtherBankCo!M5-OtherBankCo!L5))</f>
        <v>#VALUE!</v>
      </c>
    </row>
    <row r="49" spans="1:13" x14ac:dyDescent="0.3">
      <c r="A49" s="168" t="s">
        <v>957</v>
      </c>
      <c r="B49" s="208" t="s">
        <v>958</v>
      </c>
      <c r="C49" s="190">
        <f>JapanCo!C25-(JapanCo!C21-JapanCo!C24)</f>
        <v>0</v>
      </c>
      <c r="D49" s="190">
        <f>JapanCo!D25-(JapanCo!D21-JapanCo!D24)</f>
        <v>0</v>
      </c>
      <c r="E49" s="190">
        <f>JapanCo!E25-(JapanCo!E21-JapanCo!E24)</f>
        <v>0</v>
      </c>
      <c r="F49" s="190">
        <f>JapanCo!F25-(JapanCo!F21-JapanCo!F24)</f>
        <v>0</v>
      </c>
      <c r="G49" s="190">
        <f>JapanCo!G25-(JapanCo!G21-JapanCo!G24)</f>
        <v>0</v>
      </c>
      <c r="H49" s="190">
        <f>JapanCo!H25-(JapanCo!H21-JapanCo!H24)</f>
        <v>0</v>
      </c>
      <c r="I49" s="190">
        <f>JapanCo!I25-(JapanCo!I21-JapanCo!I24)</f>
        <v>0</v>
      </c>
      <c r="J49" s="190">
        <f>JapanCo!J25-(JapanCo!J21-JapanCo!J24)</f>
        <v>0</v>
      </c>
      <c r="K49" s="190">
        <f>JapanCo!K25-(JapanCo!K21-JapanCo!K24)</f>
        <v>0</v>
      </c>
      <c r="L49" s="190">
        <f>JapanCo!L25-(JapanCo!L21-JapanCo!L24)</f>
        <v>0</v>
      </c>
      <c r="M49" s="190">
        <f>JapanCo!M25-(JapanCo!M21-JapanCo!M24)</f>
        <v>0</v>
      </c>
    </row>
    <row r="50" spans="1:13" x14ac:dyDescent="0.3">
      <c r="A50" s="168" t="s">
        <v>959</v>
      </c>
      <c r="B50" s="208" t="s">
        <v>960</v>
      </c>
      <c r="C50" s="190">
        <f>FedCo!C20-AmeriBankCo!C20</f>
        <v>0</v>
      </c>
      <c r="D50" s="190">
        <f>FedCo!D20-AmeriBankCo!D20</f>
        <v>0</v>
      </c>
      <c r="E50" s="190">
        <f>FedCo!E20-AmeriBankCo!E20</f>
        <v>0</v>
      </c>
      <c r="F50" s="190">
        <f>FedCo!F20-AmeriBankCo!F20</f>
        <v>0</v>
      </c>
      <c r="G50" s="190">
        <f>FedCo!G20-AmeriBankCo!G20</f>
        <v>0</v>
      </c>
      <c r="H50" s="190">
        <f>FedCo!H20-AmeriBankCo!H20</f>
        <v>0</v>
      </c>
      <c r="I50" s="190">
        <f>FedCo!I20-AmeriBankCo!I20</f>
        <v>0</v>
      </c>
      <c r="J50" s="190">
        <f>FedCo!J20-AmeriBankCo!J20</f>
        <v>0</v>
      </c>
      <c r="K50" s="190">
        <f>FedCo!K20-AmeriBankCo!K20</f>
        <v>0</v>
      </c>
      <c r="L50" s="190">
        <f>FedCo!L20-AmeriBankCo!L20</f>
        <v>0</v>
      </c>
      <c r="M50" s="190">
        <f>FedCo!M20-AmeriBankCo!M20</f>
        <v>0</v>
      </c>
    </row>
    <row r="51" spans="1:13" x14ac:dyDescent="0.3">
      <c r="A51" s="168" t="s">
        <v>961</v>
      </c>
      <c r="B51" s="208" t="s">
        <v>962</v>
      </c>
      <c r="C51" s="190">
        <f>FedCo!C21-JapanCo!C29</f>
        <v>0</v>
      </c>
      <c r="D51" s="190">
        <f>FedCo!D21-JapanCo!D29</f>
        <v>0</v>
      </c>
      <c r="E51" s="190">
        <f>FedCo!E21-JapanCo!E29</f>
        <v>0</v>
      </c>
      <c r="F51" s="190">
        <f>FedCo!F21-JapanCo!F29</f>
        <v>0</v>
      </c>
      <c r="G51" s="190">
        <f>FedCo!G21-JapanCo!G29</f>
        <v>0</v>
      </c>
      <c r="H51" s="190">
        <f>FedCo!H21-JapanCo!H29</f>
        <v>0</v>
      </c>
      <c r="I51" s="190">
        <f>FedCo!I21-JapanCo!I29</f>
        <v>0</v>
      </c>
      <c r="J51" s="190">
        <f>FedCo!J21-JapanCo!J29</f>
        <v>0</v>
      </c>
      <c r="K51" s="190">
        <f>FedCo!K21-JapanCo!K29</f>
        <v>-112.934</v>
      </c>
      <c r="L51" s="190">
        <f>FedCo!L21-JapanCo!L29</f>
        <v>-113.26999999999998</v>
      </c>
      <c r="M51" s="190">
        <f>FedCo!M21-JapanCo!M29</f>
        <v>-113.55799999999999</v>
      </c>
    </row>
    <row r="52" spans="1:13" x14ac:dyDescent="0.3">
      <c r="A52" s="168" t="s">
        <v>963</v>
      </c>
      <c r="B52" s="208" t="s">
        <v>964</v>
      </c>
      <c r="C52" s="190">
        <f>MAX(0,MEASURES!C56)</f>
        <v>2.0000000000000018E-3</v>
      </c>
      <c r="D52" s="190">
        <f>MAX(0,MEASURES!D56)</f>
        <v>2.8028299999999999E-2</v>
      </c>
      <c r="E52" s="190">
        <f>MAX(0,MEASURES!E56)</f>
        <v>5.7102439333333345E-2</v>
      </c>
      <c r="F52" s="190">
        <f>MAX(0,MEASURES!F56)</f>
        <v>6.9133333333333324E-2</v>
      </c>
      <c r="G52" s="190">
        <f>MAX(0,MEASURES!G56)</f>
        <v>6.9133333333333324E-2</v>
      </c>
      <c r="H52" s="190">
        <f>MAX(0,MEASURES!H56)</f>
        <v>6.9133333333333324E-2</v>
      </c>
      <c r="I52" s="190">
        <f>MAX(0,MEASURES!I56)</f>
        <v>6.9133333333333324E-2</v>
      </c>
      <c r="J52" s="190">
        <f>MAX(0,MEASURES!J56)</f>
        <v>6.9133333333333324E-2</v>
      </c>
      <c r="K52" s="190">
        <f>MAX(0,MEASURES!K56)</f>
        <v>6.9133333333333324E-2</v>
      </c>
      <c r="L52" s="190">
        <f>MAX(0,MEASURES!L56)</f>
        <v>8.2133333333333308E-2</v>
      </c>
      <c r="M52" s="190">
        <f>MAX(0,MEASURES!M56)</f>
        <v>0.10213333333333333</v>
      </c>
    </row>
    <row r="53" spans="1:13" x14ac:dyDescent="0.3">
      <c r="A53" t="s">
        <v>965</v>
      </c>
      <c r="B53" t="s">
        <v>966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t="s">
        <v>967</v>
      </c>
      <c r="B54" t="s">
        <v>968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t="s">
        <v>969</v>
      </c>
      <c r="B55" t="s">
        <v>970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t="s">
        <v>971</v>
      </c>
      <c r="B56" t="s">
        <v>972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t="s">
        <v>973</v>
      </c>
      <c r="B57" t="s">
        <v>974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t="s">
        <v>975</v>
      </c>
      <c r="B58" t="s">
        <v>976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61" spans="1:13" x14ac:dyDescent="0.3">
      <c r="A61" s="253" t="s">
        <v>977</v>
      </c>
    </row>
    <row r="62" spans="1:13" x14ac:dyDescent="0.3">
      <c r="A62" t="s">
        <v>978</v>
      </c>
    </row>
    <row r="63" spans="1:13" x14ac:dyDescent="0.3">
      <c r="A63" t="s">
        <v>979</v>
      </c>
    </row>
    <row r="64" spans="1:13" x14ac:dyDescent="0.3">
      <c r="A64" t="s">
        <v>980</v>
      </c>
    </row>
    <row r="65" spans="1:1" x14ac:dyDescent="0.3">
      <c r="A65" t="s">
        <v>981</v>
      </c>
    </row>
    <row r="66" spans="1:1" x14ac:dyDescent="0.3">
      <c r="A66" t="s">
        <v>982</v>
      </c>
    </row>
    <row r="67" spans="1:1" x14ac:dyDescent="0.3">
      <c r="A67" t="s">
        <v>983</v>
      </c>
    </row>
    <row r="68" spans="1:1" x14ac:dyDescent="0.3">
      <c r="A68" t="s">
        <v>984</v>
      </c>
    </row>
  </sheetData>
  <mergeCells count="1">
    <mergeCell ref="A19:M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4472C4"/>
  </sheetPr>
  <dimension ref="A1:M64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52" customWidth="1"/>
    <col min="3" max="13" width="9" customWidth="1"/>
  </cols>
  <sheetData>
    <row r="1" spans="1:13" ht="21.75" customHeight="1" x14ac:dyDescent="0.3">
      <c r="A1" s="273" t="s">
        <v>985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ht="27.75" customHeight="1" x14ac:dyDescent="0.3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117</v>
      </c>
      <c r="M2" s="7" t="s">
        <v>118</v>
      </c>
    </row>
    <row r="3" spans="1:13" ht="15" customHeight="1" x14ac:dyDescent="0.3">
      <c r="A3" s="258" t="s">
        <v>986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</row>
    <row r="4" spans="1:13" ht="15" customHeight="1" x14ac:dyDescent="0.3">
      <c r="A4" s="112" t="s">
        <v>987</v>
      </c>
      <c r="B4" s="42" t="s">
        <v>988</v>
      </c>
      <c r="C4" s="113">
        <f>GlobalBankCo!C20</f>
        <v>0.5</v>
      </c>
      <c r="D4" s="113">
        <f>GlobalBankCo!D20</f>
        <v>0.55430156377026452</v>
      </c>
      <c r="E4" s="113">
        <f>GlobalBankCo!E20</f>
        <v>0.62490450516374396</v>
      </c>
      <c r="F4" s="113">
        <f>GlobalBankCo!F20</f>
        <v>0.67008628285818572</v>
      </c>
      <c r="G4" s="113">
        <f>GlobalBankCo!G20</f>
        <v>0.69538341673419324</v>
      </c>
      <c r="H4" s="113">
        <f>GlobalBankCo!H20</f>
        <v>0.69819348819487148</v>
      </c>
      <c r="I4" s="113">
        <f>GlobalBankCo!I20</f>
        <v>0.65735472591537492</v>
      </c>
      <c r="J4" s="113">
        <f>GlobalBankCo!J20</f>
        <v>0.56582697422252137</v>
      </c>
      <c r="K4" s="113">
        <f>GlobalBankCo!K20</f>
        <v>0.52896882513839827</v>
      </c>
      <c r="L4" s="113">
        <f>GlobalBankCo!L20</f>
        <v>0.51893615418013095</v>
      </c>
      <c r="M4" s="113">
        <f>GlobalBankCo!M20</f>
        <v>0.5352478490407151</v>
      </c>
    </row>
    <row r="5" spans="1:13" ht="21.75" customHeight="1" x14ac:dyDescent="0.3">
      <c r="A5" s="103"/>
      <c r="B5" s="104" t="s">
        <v>989</v>
      </c>
    </row>
    <row r="6" spans="1:13" ht="21.75" customHeight="1" x14ac:dyDescent="0.3">
      <c r="A6" s="112" t="s">
        <v>990</v>
      </c>
      <c r="B6" s="42" t="s">
        <v>991</v>
      </c>
      <c r="C6" s="113">
        <f>CommodityCo!C19</f>
        <v>1.6923076923076923</v>
      </c>
      <c r="D6" s="113">
        <f>CommodityCo!D19</f>
        <v>1.7256097560975612</v>
      </c>
      <c r="E6" s="113">
        <f>CommodityCo!E19</f>
        <v>1.759513167431747</v>
      </c>
      <c r="F6" s="113">
        <f>CommodityCo!F19</f>
        <v>1.7835579582539789</v>
      </c>
      <c r="G6" s="113">
        <f>CommodityCo!G19</f>
        <v>1.7217131012067435</v>
      </c>
      <c r="H6" s="113">
        <f>CommodityCo!H19</f>
        <v>1.791221424743447</v>
      </c>
      <c r="I6" s="113">
        <f>CommodityCo!I19</f>
        <v>1.8466080697746023</v>
      </c>
      <c r="J6" s="113">
        <f>CommodityCo!J19</f>
        <v>1.89296226770908</v>
      </c>
      <c r="K6" s="113">
        <f>CommodityCo!K19</f>
        <v>1.9404944700805065</v>
      </c>
      <c r="L6" s="113">
        <f>CommodityCo!L19</f>
        <v>1.9571898769127116</v>
      </c>
      <c r="M6" s="113">
        <f>CommodityCo!M19</f>
        <v>1.1979018057497421</v>
      </c>
    </row>
    <row r="7" spans="1:13" ht="21.75" customHeight="1" x14ac:dyDescent="0.3">
      <c r="A7" s="103"/>
      <c r="B7" s="48" t="s">
        <v>992</v>
      </c>
    </row>
    <row r="8" spans="1:13" ht="15" customHeight="1" x14ac:dyDescent="0.3">
      <c r="A8" s="112" t="s">
        <v>993</v>
      </c>
      <c r="B8" s="42" t="s">
        <v>994</v>
      </c>
      <c r="C8" s="113">
        <f>RepoCo!C16</f>
        <v>1</v>
      </c>
      <c r="D8" s="113">
        <f>RepoCo!D16</f>
        <v>1</v>
      </c>
      <c r="E8" s="113">
        <f>RepoCo!E16</f>
        <v>1</v>
      </c>
      <c r="F8" s="113">
        <f>RepoCo!F16</f>
        <v>1</v>
      </c>
      <c r="G8" s="113">
        <f>RepoCo!G16</f>
        <v>1</v>
      </c>
      <c r="H8" s="113">
        <f>RepoCo!H16</f>
        <v>1</v>
      </c>
      <c r="I8" s="113">
        <f>RepoCo!I16</f>
        <v>1</v>
      </c>
      <c r="J8" s="113">
        <f>RepoCo!J16</f>
        <v>1</v>
      </c>
      <c r="K8" s="113">
        <f>RepoCo!K16</f>
        <v>1</v>
      </c>
      <c r="L8" s="113">
        <f>RepoCo!L16</f>
        <v>1</v>
      </c>
      <c r="M8" s="113">
        <f>RepoCo!M16</f>
        <v>1</v>
      </c>
    </row>
    <row r="9" spans="1:13" ht="21.75" customHeight="1" x14ac:dyDescent="0.3">
      <c r="A9" s="103"/>
      <c r="B9" s="104" t="s">
        <v>995</v>
      </c>
    </row>
    <row r="10" spans="1:13" ht="15" customHeight="1" x14ac:dyDescent="0.3">
      <c r="A10" s="112" t="s">
        <v>996</v>
      </c>
      <c r="B10" s="42" t="s">
        <v>997</v>
      </c>
      <c r="C10" s="88">
        <f>IF(HedgeCo!C14=0,"-",RepoCo!C4/HedgeCo!C14)</f>
        <v>0</v>
      </c>
      <c r="D10" s="88">
        <f>IF(HedgeCo!D14=0,"-",RepoCo!D4/HedgeCo!D14)</f>
        <v>0</v>
      </c>
      <c r="E10" s="88">
        <f>IF(HedgeCo!E14=0,"-",RepoCo!E4/HedgeCo!E14)</f>
        <v>0</v>
      </c>
      <c r="F10" s="88">
        <f>IF(HedgeCo!F14=0,"-",RepoCo!F4/HedgeCo!F14)</f>
        <v>0</v>
      </c>
      <c r="G10" s="88">
        <f>IF(HedgeCo!G14=0,"-",RepoCo!G4/HedgeCo!G14)</f>
        <v>0</v>
      </c>
      <c r="H10" s="88">
        <f>IF(HedgeCo!H14=0,"-",RepoCo!H4/HedgeCo!H14)</f>
        <v>0</v>
      </c>
      <c r="I10" s="88">
        <f>IF(HedgeCo!I14=0,"-",RepoCo!I4/HedgeCo!I14)</f>
        <v>0</v>
      </c>
      <c r="J10" s="88">
        <f>IF(HedgeCo!J14=0,"-",RepoCo!J4/HedgeCo!J14)</f>
        <v>0</v>
      </c>
      <c r="K10" s="88">
        <f>IF(HedgeCo!K14=0,"-",RepoCo!K4/HedgeCo!K14)</f>
        <v>0</v>
      </c>
      <c r="L10" s="88">
        <f>IF(HedgeCo!L14=0,"-",RepoCo!L4/HedgeCo!L14)</f>
        <v>0</v>
      </c>
      <c r="M10" s="88">
        <f>IF(HedgeCo!M14=0,"-",RepoCo!M4/HedgeCo!M14)</f>
        <v>0</v>
      </c>
    </row>
    <row r="11" spans="1:13" ht="21.75" customHeight="1" x14ac:dyDescent="0.3">
      <c r="A11" s="103"/>
      <c r="B11" s="104" t="s">
        <v>998</v>
      </c>
    </row>
    <row r="12" spans="1:13" ht="23.25" customHeight="1" x14ac:dyDescent="0.3">
      <c r="A12" s="112" t="s">
        <v>999</v>
      </c>
      <c r="B12" s="42" t="s">
        <v>1000</v>
      </c>
      <c r="C12" s="114">
        <f>IF((FedCo!C15+HedgeCo!C14)=0,0,HedgeCo!C14/(FedCo!C15+HedgeCo!C14))</f>
        <v>0.50091107739439122</v>
      </c>
      <c r="D12" s="114">
        <f>IF((FedCo!D15+HedgeCo!D14)=0,0,HedgeCo!D14/(FedCo!D15+HedgeCo!D14))</f>
        <v>0.52906436219087538</v>
      </c>
      <c r="E12" s="114">
        <f>IF((FedCo!E15+HedgeCo!E14)=0,0,HedgeCo!E14/(FedCo!E15+HedgeCo!E14))</f>
        <v>0.61730267104714243</v>
      </c>
      <c r="F12" s="114">
        <f>IF((FedCo!F15+HedgeCo!F14)=0,0,HedgeCo!F14/(FedCo!F15+HedgeCo!F14))</f>
        <v>0.69527706258948685</v>
      </c>
      <c r="G12" s="114">
        <f>IF((FedCo!G15+HedgeCo!G14)=0,0,HedgeCo!G14/(FedCo!G15+HedgeCo!G14))</f>
        <v>0.84741764743655656</v>
      </c>
      <c r="H12" s="114">
        <f>IF((FedCo!H15+HedgeCo!H14)=0,0,HedgeCo!H14/(FedCo!H15+HedgeCo!H14))</f>
        <v>0.84992703821371363</v>
      </c>
      <c r="I12" s="114">
        <f>IF((FedCo!I15+HedgeCo!I14)=0,0,HedgeCo!I14/(FedCo!I15+HedgeCo!I14))</f>
        <v>0.86715077616474712</v>
      </c>
      <c r="J12" s="114">
        <f>IF((FedCo!J15+HedgeCo!J14)=0,0,HedgeCo!J14/(FedCo!J15+HedgeCo!J14))</f>
        <v>0.87505493280667912</v>
      </c>
      <c r="K12" s="114">
        <f>IF((FedCo!K15+HedgeCo!K14)=0,0,HedgeCo!K14/(FedCo!K15+HedgeCo!K14))</f>
        <v>0.90130780623424045</v>
      </c>
      <c r="L12" s="114">
        <f>IF((FedCo!L15+HedgeCo!L14)=0,0,HedgeCo!L14/(FedCo!L15+HedgeCo!L14))</f>
        <v>0.91624909627528794</v>
      </c>
      <c r="M12" s="114">
        <f>IF((FedCo!M15+HedgeCo!M14)=0,0,HedgeCo!M14/(FedCo!M15+HedgeCo!M14))</f>
        <v>0.94907748114880475</v>
      </c>
    </row>
    <row r="13" spans="1:13" ht="21.75" customHeight="1" x14ac:dyDescent="0.3">
      <c r="A13" s="103"/>
      <c r="B13" s="48" t="s">
        <v>1001</v>
      </c>
    </row>
    <row r="14" spans="1:13" ht="15" customHeight="1" x14ac:dyDescent="0.3">
      <c r="A14" s="112" t="s">
        <v>1002</v>
      </c>
      <c r="B14" s="42" t="s">
        <v>1003</v>
      </c>
      <c r="C14" s="88">
        <f>FedCo!C14</f>
        <v>0.51429714285714279</v>
      </c>
      <c r="D14" s="88">
        <f>FedCo!D14</f>
        <v>0.55416322397212547</v>
      </c>
      <c r="E14" s="88">
        <f>FedCo!E14</f>
        <v>0.59214749626848073</v>
      </c>
      <c r="F14" s="88">
        <f>FedCo!F14</f>
        <v>0.64275037527593815</v>
      </c>
      <c r="G14" s="88">
        <f>FedCo!G14</f>
        <v>0.95177296296296299</v>
      </c>
      <c r="H14" s="88">
        <f>FedCo!H14</f>
        <v>0.88703537777777774</v>
      </c>
      <c r="I14" s="88">
        <f>FedCo!I14</f>
        <v>0.79906043290043294</v>
      </c>
      <c r="J14" s="88">
        <f>FedCo!J14</f>
        <v>0.70193845502645502</v>
      </c>
      <c r="K14" s="88">
        <f>FedCo!K14</f>
        <v>0.70659566666666662</v>
      </c>
      <c r="L14" s="88">
        <f>FedCo!L14</f>
        <v>0.68594784067085957</v>
      </c>
      <c r="M14" s="88">
        <f>FedCo!M14</f>
        <v>0.8772113777777778</v>
      </c>
    </row>
    <row r="15" spans="1:13" ht="15" customHeight="1" x14ac:dyDescent="0.3">
      <c r="A15" s="103"/>
      <c r="B15" s="104" t="s">
        <v>1004</v>
      </c>
    </row>
    <row r="16" spans="1:13" ht="15" customHeight="1" x14ac:dyDescent="0.3">
      <c r="A16" s="41" t="s">
        <v>1005</v>
      </c>
      <c r="B16" s="42" t="s">
        <v>1006</v>
      </c>
      <c r="C16" s="115">
        <f>ASSUMPTIONS!C4/ASSUMPTIONS!C5</f>
        <v>1.0714285714285714</v>
      </c>
      <c r="D16" s="115">
        <f>ASSUMPTIONS!D4/ASSUMPTIONS!D5</f>
        <v>1.0801393728222997</v>
      </c>
      <c r="E16" s="115">
        <f>ASSUMPTIONS!E4/ASSUMPTIONS!E5</f>
        <v>1.1054421768707483</v>
      </c>
      <c r="F16" s="115">
        <f>ASSUMPTIONS!F4/ASSUMPTIONS!F5</f>
        <v>1.1258278145695364</v>
      </c>
      <c r="G16" s="115">
        <f>ASSUMPTIONS!G4/ASSUMPTIONS!G5</f>
        <v>1.1458333333333333</v>
      </c>
      <c r="H16" s="115">
        <f>ASSUMPTIONS!H4/ASSUMPTIONS!H5</f>
        <v>1.1499999999999999</v>
      </c>
      <c r="I16" s="115">
        <f>ASSUMPTIONS!I4/ASSUMPTIONS!I5</f>
        <v>1.1850649350649352</v>
      </c>
      <c r="J16" s="115">
        <f>ASSUMPTIONS!J4/ASSUMPTIONS!J5</f>
        <v>1.2063492063492063</v>
      </c>
      <c r="K16" s="115">
        <f>ASSUMPTIONS!K4/ASSUMPTIONS!K5</f>
        <v>1.25</v>
      </c>
      <c r="L16" s="115">
        <f>ASSUMPTIONS!L4/ASSUMPTIONS!L5</f>
        <v>1.3050314465408805</v>
      </c>
      <c r="M16" s="115">
        <f>ASSUMPTIONS!M4/ASSUMPTIONS!M5</f>
        <v>1.3333333333333333</v>
      </c>
    </row>
    <row r="17" spans="1:13" ht="21.75" customHeight="1" x14ac:dyDescent="0.3">
      <c r="A17" s="103"/>
      <c r="B17" s="104" t="s">
        <v>1007</v>
      </c>
    </row>
    <row r="19" spans="1:13" x14ac:dyDescent="0.3">
      <c r="A19" s="261" t="s">
        <v>1008</v>
      </c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</row>
    <row r="20" spans="1:13" x14ac:dyDescent="0.3">
      <c r="A20" s="189" t="s">
        <v>1009</v>
      </c>
      <c r="B20" s="184" t="s">
        <v>1010</v>
      </c>
      <c r="C20" s="185">
        <f>HouseholdCo!C20</f>
        <v>0.875</v>
      </c>
      <c r="D20" s="185">
        <f>HouseholdCo!D20</f>
        <v>0.88153310104529614</v>
      </c>
      <c r="E20" s="185">
        <f>HouseholdCo!E20</f>
        <v>0.89697278911564637</v>
      </c>
      <c r="F20" s="185">
        <f>HouseholdCo!F20</f>
        <v>0.91803576158940403</v>
      </c>
      <c r="G20" s="185">
        <f>HouseholdCo!G20</f>
        <v>0.9949947916666666</v>
      </c>
      <c r="H20" s="185">
        <f>HouseholdCo!H20</f>
        <v>1.0662340000000001</v>
      </c>
      <c r="I20" s="185">
        <f>HouseholdCo!I20</f>
        <v>1.1417231493506494</v>
      </c>
      <c r="J20" s="185">
        <f>HouseholdCo!J20</f>
        <v>1.1879866761904763</v>
      </c>
      <c r="K20" s="185">
        <f>HouseholdCo!K20</f>
        <v>1.2422283351250001</v>
      </c>
      <c r="L20" s="185">
        <f>HouseholdCo!L20</f>
        <v>1.2980777377421384</v>
      </c>
      <c r="M20" s="185">
        <f>HouseholdCo!M20</f>
        <v>1.4151900956410002</v>
      </c>
    </row>
    <row r="21" spans="1:13" x14ac:dyDescent="0.3">
      <c r="A21" s="189" t="s">
        <v>1011</v>
      </c>
      <c r="B21" s="184" t="s">
        <v>1012</v>
      </c>
      <c r="C21" s="185">
        <f>ManuCo!C17</f>
        <v>0.1</v>
      </c>
      <c r="D21" s="185">
        <f>ManuCo!D17</f>
        <v>9.8000000000000004E-2</v>
      </c>
      <c r="E21" s="185">
        <f>ManuCo!E17</f>
        <v>9.6000000000000002E-2</v>
      </c>
      <c r="F21" s="185">
        <f>ManuCo!F17</f>
        <v>9.4E-2</v>
      </c>
      <c r="G21" s="185">
        <f>ManuCo!G17</f>
        <v>8.5000000000000006E-2</v>
      </c>
      <c r="H21" s="185">
        <f>ManuCo!H17</f>
        <v>8.7999999999999995E-2</v>
      </c>
      <c r="I21" s="185">
        <f>ManuCo!I17</f>
        <v>8.5999999999999993E-2</v>
      </c>
      <c r="J21" s="185">
        <f>ManuCo!J17</f>
        <v>8.4000000000000005E-2</v>
      </c>
      <c r="K21" s="185">
        <f>ManuCo!K17</f>
        <v>8.2000000000000003E-2</v>
      </c>
      <c r="L21" s="185">
        <f>ManuCo!L17</f>
        <v>0.08</v>
      </c>
      <c r="M21" s="185">
        <f>ManuCo!M17</f>
        <v>7.4999999999999997E-2</v>
      </c>
    </row>
    <row r="22" spans="1:13" x14ac:dyDescent="0.3">
      <c r="A22" s="189" t="s">
        <v>1013</v>
      </c>
      <c r="B22" s="184" t="s">
        <v>1014</v>
      </c>
      <c r="C22" s="185">
        <f>ProdServiceCo!C17</f>
        <v>4.3214285714285712</v>
      </c>
      <c r="D22" s="185">
        <f>ProdServiceCo!D17</f>
        <v>4.9337979094076658</v>
      </c>
      <c r="E22" s="185">
        <f>ProdServiceCo!E17</f>
        <v>5.6598639455782314</v>
      </c>
      <c r="F22" s="185">
        <f>ProdServiceCo!F17</f>
        <v>6.4900662251655632</v>
      </c>
      <c r="G22" s="185">
        <f>ProdServiceCo!G17</f>
        <v>5.416666666666667</v>
      </c>
      <c r="H22" s="185">
        <f>ProdServiceCo!H17</f>
        <v>9.1</v>
      </c>
      <c r="I22" s="185">
        <f>ProdServiceCo!I17</f>
        <v>11.103896103896103</v>
      </c>
      <c r="J22" s="185">
        <f>ProdServiceCo!J17</f>
        <v>10.057142857142857</v>
      </c>
      <c r="K22" s="185">
        <f>ProdServiceCo!K17</f>
        <v>10.3125</v>
      </c>
      <c r="L22" s="185">
        <f>ProdServiceCo!L17</f>
        <v>10.389937106918239</v>
      </c>
      <c r="M22" s="185">
        <f>ProdServiceCo!M17</f>
        <v>6.6</v>
      </c>
    </row>
    <row r="23" spans="1:13" x14ac:dyDescent="0.3">
      <c r="A23" s="189" t="s">
        <v>1015</v>
      </c>
      <c r="B23" s="184" t="s">
        <v>1016</v>
      </c>
      <c r="C23" s="185">
        <f>FinServCo!C21</f>
        <v>0</v>
      </c>
      <c r="D23" s="185">
        <f>FinServCo!D21</f>
        <v>0</v>
      </c>
      <c r="E23" s="185">
        <f>FinServCo!E21</f>
        <v>0</v>
      </c>
      <c r="F23" s="185">
        <f>FinServCo!F21</f>
        <v>0</v>
      </c>
      <c r="G23" s="185">
        <f>FinServCo!G21</f>
        <v>0</v>
      </c>
      <c r="H23" s="185">
        <f>FinServCo!H21</f>
        <v>0</v>
      </c>
      <c r="I23" s="185">
        <f>FinServCo!I21</f>
        <v>0</v>
      </c>
      <c r="J23" s="185">
        <f>FinServCo!J21</f>
        <v>0</v>
      </c>
      <c r="K23" s="185">
        <f>FinServCo!K21</f>
        <v>0</v>
      </c>
      <c r="L23" s="185">
        <f>FinServCo!L21</f>
        <v>0</v>
      </c>
      <c r="M23" s="185">
        <f>FinServCo!M21</f>
        <v>0</v>
      </c>
    </row>
    <row r="24" spans="1:13" x14ac:dyDescent="0.3">
      <c r="A24" s="189" t="s">
        <v>376</v>
      </c>
      <c r="B24" s="184" t="s">
        <v>1017</v>
      </c>
      <c r="C24" s="185">
        <f>HouseholdCo!C23</f>
        <v>0.34693877551020408</v>
      </c>
      <c r="D24" s="185">
        <f>HouseholdCo!D23</f>
        <v>0.34782608695652173</v>
      </c>
      <c r="E24" s="185">
        <f>HouseholdCo!E23</f>
        <v>0.34507603048803603</v>
      </c>
      <c r="F24" s="185">
        <f>HouseholdCo!F23</f>
        <v>0.34265499187005943</v>
      </c>
      <c r="G24" s="185">
        <f>HouseholdCo!G23</f>
        <v>0.3245410622961804</v>
      </c>
      <c r="H24" s="185">
        <f>HouseholdCo!H23</f>
        <v>0.30324800497201676</v>
      </c>
      <c r="I24" s="185">
        <f>HouseholdCo!I23</f>
        <v>0.29006053819367872</v>
      </c>
      <c r="J24" s="185">
        <f>HouseholdCo!J23</f>
        <v>0.28058676078946881</v>
      </c>
      <c r="K24" s="185">
        <f>HouseholdCo!K23</f>
        <v>0.2716891818169957</v>
      </c>
      <c r="L24" s="185">
        <f>HouseholdCo!L23</f>
        <v>0.26890269636757658</v>
      </c>
      <c r="M24" s="185">
        <f>HouseholdCo!M23</f>
        <v>0.26851516356032845</v>
      </c>
    </row>
    <row r="25" spans="1:13" x14ac:dyDescent="0.3">
      <c r="A25" s="189" t="s">
        <v>1018</v>
      </c>
      <c r="B25" s="184" t="s">
        <v>1019</v>
      </c>
      <c r="C25" s="185">
        <f>AmeriBankCo!C17</f>
        <v>0.12345679012345678</v>
      </c>
      <c r="D25" s="185">
        <f>AmeriBankCo!D17</f>
        <v>0.13644145245787692</v>
      </c>
      <c r="E25" s="185">
        <f>AmeriBankCo!E17</f>
        <v>0.14477547164994511</v>
      </c>
      <c r="F25" s="185">
        <f>AmeriBankCo!F17</f>
        <v>0.15226174577398752</v>
      </c>
      <c r="G25" s="185">
        <f>AmeriBankCo!G17</f>
        <v>0.18512133108133436</v>
      </c>
      <c r="H25" s="185">
        <f>AmeriBankCo!H17</f>
        <v>0.21125889978204992</v>
      </c>
      <c r="I25" s="185">
        <f>AmeriBankCo!I17</f>
        <v>0.23186779487876605</v>
      </c>
      <c r="J25" s="185">
        <f>AmeriBankCo!J17</f>
        <v>0.24715418379930545</v>
      </c>
      <c r="K25" s="185">
        <f>AmeriBankCo!K17</f>
        <v>0.25958567770765012</v>
      </c>
      <c r="L25" s="185">
        <f>AmeriBankCo!L17</f>
        <v>0.26689293437349176</v>
      </c>
      <c r="M25" s="185">
        <f>AmeriBankCo!M17</f>
        <v>0.2928315534139993</v>
      </c>
    </row>
    <row r="26" spans="1:13" x14ac:dyDescent="0.3">
      <c r="A26" s="189" t="s">
        <v>1020</v>
      </c>
      <c r="B26" s="184" t="s">
        <v>1021</v>
      </c>
      <c r="C26" s="185">
        <f>FinServCo!C23</f>
        <v>1.4285714285714285E-2</v>
      </c>
      <c r="D26" s="185">
        <f>FinServCo!D23</f>
        <v>1.7421602787456445E-2</v>
      </c>
      <c r="E26" s="185">
        <f>FinServCo!E23</f>
        <v>2.0408163265306121E-2</v>
      </c>
      <c r="F26" s="185">
        <f>FinServCo!F23</f>
        <v>2.3178807947019868E-2</v>
      </c>
      <c r="G26" s="185">
        <f>FinServCo!G23</f>
        <v>2.0833333333333332E-2</v>
      </c>
      <c r="H26" s="185">
        <f>FinServCo!H23</f>
        <v>0.03</v>
      </c>
      <c r="I26" s="185">
        <f>FinServCo!I23</f>
        <v>3.5714285714285712E-2</v>
      </c>
      <c r="J26" s="185">
        <f>FinServCo!J23</f>
        <v>3.8095238095238099E-2</v>
      </c>
      <c r="K26" s="185">
        <f>FinServCo!K23</f>
        <v>4.0625000000000001E-2</v>
      </c>
      <c r="L26" s="185">
        <f>FinServCo!L23</f>
        <v>4.40251572327044E-2</v>
      </c>
      <c r="M26" s="185">
        <f>FinServCo!M23</f>
        <v>2.6666666666666668E-2</v>
      </c>
    </row>
    <row r="27" spans="1:13" x14ac:dyDescent="0.3">
      <c r="A27" s="189" t="s">
        <v>1022</v>
      </c>
      <c r="B27" s="184" t="s">
        <v>1023</v>
      </c>
      <c r="C27" s="185">
        <f>ManuCo!C18-IF(ASSUMPTIONS!C5=0,0,FinServCo!C16/FinServCo!C9)</f>
        <v>-2.4358974358974361</v>
      </c>
      <c r="D27" s="185">
        <f>ManuCo!D18-IF(ASSUMPTIONS!D5=0,0,FinServCo!D16/FinServCo!D9)</f>
        <v>-1.0415799120234608</v>
      </c>
      <c r="E27" s="185">
        <f>ManuCo!E18-IF(ASSUMPTIONS!E5=0,0,FinServCo!E16/FinServCo!E9)</f>
        <v>0.56640625</v>
      </c>
      <c r="F27" s="185">
        <f>ManuCo!F18-IF(ASSUMPTIONS!F5=0,0,FinServCo!F16/FinServCo!F9)</f>
        <v>0.56925996204933582</v>
      </c>
      <c r="G27" s="185">
        <f>ManuCo!G18-IF(ASSUMPTIONS!G5=0,0,FinServCo!G16/FinServCo!G9)</f>
        <v>0.51515151515151514</v>
      </c>
      <c r="H27" s="185">
        <f>ManuCo!H18-IF(ASSUMPTIONS!H5=0,0,FinServCo!H16/FinServCo!H9)</f>
        <v>0.55036855036855037</v>
      </c>
      <c r="I27" s="185">
        <f>ManuCo!I18-IF(ASSUMPTIONS!I5=0,0,FinServCo!I16/FinServCo!I9)</f>
        <v>0.56730769230769229</v>
      </c>
      <c r="J27" s="185">
        <f>ManuCo!J18-IF(ASSUMPTIONS!J5=0,0,FinServCo!J16/FinServCo!J9)</f>
        <v>0.58373205741626799</v>
      </c>
      <c r="K27" s="185">
        <f>ManuCo!K18-IF(ASSUMPTIONS!K5=0,0,FinServCo!K16/FinServCo!K9)</f>
        <v>0.59433962264150941</v>
      </c>
      <c r="L27" s="185">
        <f>ManuCo!L18-IF(ASSUMPTIONS!L5=0,0,FinServCo!L16/FinServCo!L9)</f>
        <v>0.60462919225318845</v>
      </c>
      <c r="M27" s="185">
        <f>ManuCo!M18-IF(ASSUMPTIONS!M5=0,0,FinServCo!M16/FinServCo!M9)</f>
        <v>0.59</v>
      </c>
    </row>
    <row r="28" spans="1:13" x14ac:dyDescent="0.3">
      <c r="A28" t="s">
        <v>1024</v>
      </c>
      <c r="B28" t="s">
        <v>1025</v>
      </c>
      <c r="C28">
        <v>40</v>
      </c>
      <c r="D28">
        <v>43</v>
      </c>
      <c r="E28">
        <v>46</v>
      </c>
      <c r="F28">
        <v>50</v>
      </c>
      <c r="G28">
        <v>55</v>
      </c>
      <c r="H28">
        <v>62</v>
      </c>
      <c r="I28">
        <v>70</v>
      </c>
      <c r="J28">
        <v>78</v>
      </c>
      <c r="K28">
        <v>72</v>
      </c>
      <c r="L28">
        <v>55</v>
      </c>
      <c r="M28">
        <v>45</v>
      </c>
    </row>
    <row r="29" spans="1:13" x14ac:dyDescent="0.3">
      <c r="A29" s="261" t="s">
        <v>1026</v>
      </c>
      <c r="B29" s="259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</row>
    <row r="30" spans="1:13" x14ac:dyDescent="0.3">
      <c r="A30" s="183" t="s">
        <v>1027</v>
      </c>
      <c r="B30" s="197" t="s">
        <v>1028</v>
      </c>
      <c r="C30" s="185">
        <f>ASSUMPTIONS!C6/ASSUMPTIONS!C4</f>
        <v>0.13333333333333333</v>
      </c>
      <c r="D30" s="185">
        <f>ASSUMPTIONS!D6/ASSUMPTIONS!D4</f>
        <v>0.14516129032258066</v>
      </c>
      <c r="E30" s="185">
        <f>ASSUMPTIONS!E6/ASSUMPTIONS!E4</f>
        <v>0.15384615384615385</v>
      </c>
      <c r="F30" s="185">
        <f>ASSUMPTIONS!F6/ASSUMPTIONS!F4</f>
        <v>0.16176470588235295</v>
      </c>
      <c r="G30" s="185">
        <f>ASSUMPTIONS!G6/ASSUMPTIONS!G4</f>
        <v>0.18181818181818182</v>
      </c>
      <c r="H30" s="185">
        <f>ASSUMPTIONS!H6/ASSUMPTIONS!H4</f>
        <v>0.18840579710144928</v>
      </c>
      <c r="I30" s="185">
        <f>ASSUMPTIONS!I6/ASSUMPTIONS!I4</f>
        <v>0.21917808219178081</v>
      </c>
      <c r="J30" s="185">
        <f>ASSUMPTIONS!J6/ASSUMPTIONS!J4</f>
        <v>0.23684210526315788</v>
      </c>
      <c r="K30" s="185">
        <f>ASSUMPTIONS!K6/ASSUMPTIONS!K4</f>
        <v>0.25</v>
      </c>
      <c r="L30" s="185">
        <f>ASSUMPTIONS!L6/ASSUMPTIONS!L4</f>
        <v>0.26506024096385544</v>
      </c>
      <c r="M30" s="185">
        <f>ASSUMPTIONS!M6/ASSUMPTIONS!M4</f>
        <v>0.3</v>
      </c>
    </row>
    <row r="31" spans="1:13" x14ac:dyDescent="0.3">
      <c r="A31" s="183" t="s">
        <v>1029</v>
      </c>
      <c r="B31" s="197" t="s">
        <v>1030</v>
      </c>
      <c r="C31" s="185" t="s">
        <v>550</v>
      </c>
      <c r="D31" s="185">
        <f>IF(ProdServiceCo!D14=0,"-",(ProdServiceCo!D14-ProdServiceCo!C14)/ProdServiceCo!C14)</f>
        <v>7.2727272727272724E-2</v>
      </c>
      <c r="E31" s="185">
        <f>IF(ProdServiceCo!E14=0,"-",(ProdServiceCo!E14-ProdServiceCo!D14)/ProdServiceCo!D14)</f>
        <v>8.4745762711864403E-2</v>
      </c>
      <c r="F31" s="185">
        <f>IF(ProdServiceCo!F14=0,"-",(ProdServiceCo!F14-ProdServiceCo!E14)/ProdServiceCo!E14)</f>
        <v>9.375E-2</v>
      </c>
      <c r="G31" s="185">
        <f>IF(ProdServiceCo!G14=0,"-",(ProdServiceCo!G14-ProdServiceCo!F14)/ProdServiceCo!F14)</f>
        <v>-7.1428571428571425E-2</v>
      </c>
      <c r="H31" s="185">
        <f>IF(ProdServiceCo!H14=0,"-",(ProdServiceCo!H14-ProdServiceCo!G14)/ProdServiceCo!G14)</f>
        <v>0.2</v>
      </c>
      <c r="I31" s="185">
        <f>IF(ProdServiceCo!I14=0,"-",(ProdServiceCo!I14-ProdServiceCo!H14)/ProdServiceCo!H14)</f>
        <v>0.15384615384615385</v>
      </c>
      <c r="J31" s="185">
        <f>IF(ProdServiceCo!J14=0,"-",(ProdServiceCo!J14-ProdServiceCo!I14)/ProdServiceCo!I14)</f>
        <v>0.1</v>
      </c>
      <c r="K31" s="185">
        <f>IF(ProdServiceCo!K14=0,"-",(ProdServiceCo!K14-ProdServiceCo!J14)/ProdServiceCo!J14)</f>
        <v>0.1111111111111111</v>
      </c>
      <c r="L31" s="185">
        <f>IF(ProdServiceCo!L14=0,"-",(ProdServiceCo!L14-ProdServiceCo!K14)/ProdServiceCo!K14)</f>
        <v>7.2727272727272724E-2</v>
      </c>
      <c r="M31" s="185">
        <f>IF(ProdServiceCo!M14=0,"-",(ProdServiceCo!M14-ProdServiceCo!L14)/ProdServiceCo!L14)</f>
        <v>-6.7796610169491525E-2</v>
      </c>
    </row>
    <row r="32" spans="1:13" x14ac:dyDescent="0.3">
      <c r="A32" s="189" t="s">
        <v>1031</v>
      </c>
      <c r="B32" s="197" t="s">
        <v>1032</v>
      </c>
      <c r="C32" s="185" t="str">
        <f>"-"</f>
        <v>-</v>
      </c>
      <c r="D32" s="185">
        <f t="shared" ref="D32:M32" si="0">IF(ISNUMBER(D31),D30-D31,"-")</f>
        <v>7.2434017595307931E-2</v>
      </c>
      <c r="E32" s="185">
        <f t="shared" si="0"/>
        <v>6.9100391134289452E-2</v>
      </c>
      <c r="F32" s="185">
        <f t="shared" si="0"/>
        <v>6.8014705882352949E-2</v>
      </c>
      <c r="G32" s="185">
        <f t="shared" si="0"/>
        <v>0.25324675324675328</v>
      </c>
      <c r="H32" s="185">
        <f t="shared" si="0"/>
        <v>-1.1594202898550732E-2</v>
      </c>
      <c r="I32" s="185">
        <f t="shared" si="0"/>
        <v>6.5331928345626955E-2</v>
      </c>
      <c r="J32" s="185">
        <f t="shared" si="0"/>
        <v>0.13684210526315788</v>
      </c>
      <c r="K32" s="185">
        <f t="shared" si="0"/>
        <v>0.1388888888888889</v>
      </c>
      <c r="L32" s="185">
        <f t="shared" si="0"/>
        <v>0.19233296823658272</v>
      </c>
      <c r="M32" s="185">
        <f t="shared" si="0"/>
        <v>0.3677966101694915</v>
      </c>
    </row>
    <row r="33" spans="1:13" x14ac:dyDescent="0.3">
      <c r="A33" s="233" t="s">
        <v>1033</v>
      </c>
      <c r="B33" s="231" t="s">
        <v>1034</v>
      </c>
      <c r="C33" s="187" t="str">
        <f>"-"</f>
        <v>-</v>
      </c>
      <c r="D33" s="187" t="str">
        <f t="shared" ref="D33:M33" si="1">IF(ISNUMBER(D32),IF(D32&gt;0,"DIVERGES","CONVERGES"),"-")</f>
        <v>DIVERGES</v>
      </c>
      <c r="E33" s="187" t="str">
        <f t="shared" si="1"/>
        <v>DIVERGES</v>
      </c>
      <c r="F33" s="187" t="str">
        <f t="shared" si="1"/>
        <v>DIVERGES</v>
      </c>
      <c r="G33" s="187" t="str">
        <f t="shared" si="1"/>
        <v>DIVERGES</v>
      </c>
      <c r="H33" s="187" t="str">
        <f t="shared" si="1"/>
        <v>CONVERGES</v>
      </c>
      <c r="I33" s="187" t="str">
        <f t="shared" si="1"/>
        <v>DIVERGES</v>
      </c>
      <c r="J33" s="187" t="str">
        <f t="shared" si="1"/>
        <v>DIVERGES</v>
      </c>
      <c r="K33" s="187" t="str">
        <f t="shared" si="1"/>
        <v>DIVERGES</v>
      </c>
      <c r="L33" s="187" t="str">
        <f t="shared" si="1"/>
        <v>DIVERGES</v>
      </c>
      <c r="M33" s="187" t="str">
        <f t="shared" si="1"/>
        <v>DIVERGES</v>
      </c>
    </row>
    <row r="34" spans="1:13" x14ac:dyDescent="0.3">
      <c r="A34" s="183" t="s">
        <v>1035</v>
      </c>
      <c r="B34" s="197" t="s">
        <v>1036</v>
      </c>
      <c r="C34" s="185">
        <f>ASSUMPTIONS!C4/(ASSUMPTIONS!C5*(1+0.07)^0)</f>
        <v>1.0714285714285714</v>
      </c>
      <c r="D34" s="185">
        <f>ASSUMPTIONS!D4/(ASSUMPTIONS!D5*(1+0.07)^1)</f>
        <v>1.009476049366635</v>
      </c>
      <c r="E34" s="185">
        <f>ASSUMPTIONS!E4/(ASSUMPTIONS!E5*(1+0.07)^2)</f>
        <v>0.96553600914555715</v>
      </c>
      <c r="F34" s="185">
        <f>ASSUMPTIONS!F4/(ASSUMPTIONS!F5*(1+0.07)^3)</f>
        <v>0.91901085477778022</v>
      </c>
      <c r="G34" s="185">
        <f>ASSUMPTIONS!G4/(ASSUMPTIONS!G5*(1+0.07)^4)</f>
        <v>0.87415076380445589</v>
      </c>
      <c r="H34" s="185">
        <f>ASSUMPTIONS!H4/(ASSUMPTIONS!H5*(1+0.07)^5)</f>
        <v>0.81993410640621867</v>
      </c>
      <c r="I34" s="185">
        <f>ASSUMPTIONS!I4/(ASSUMPTIONS!I5*(1+0.07)^6)</f>
        <v>0.78965880419813983</v>
      </c>
      <c r="J34" s="185">
        <f>ASSUMPTIONS!J4/(ASSUMPTIONS!J5*(1+0.07)^7)</f>
        <v>0.75125365687664958</v>
      </c>
      <c r="K34" s="185">
        <f>ASSUMPTIONS!K4/(ASSUMPTIONS!K5*(1+0.07)^8)</f>
        <v>0.72751138070629795</v>
      </c>
      <c r="L34" s="185">
        <f>ASSUMPTIONS!L4/(ASSUMPTIONS!L5*(1+0.07)^9)</f>
        <v>0.70985063890698552</v>
      </c>
      <c r="M34" s="185">
        <f>ASSUMPTIONS!M4/(ASSUMPTIONS!M5*(1+0.07)^10)</f>
        <v>0.67779905617962377</v>
      </c>
    </row>
    <row r="35" spans="1:13" x14ac:dyDescent="0.3">
      <c r="A35" t="s">
        <v>1037</v>
      </c>
      <c r="C35">
        <v>25</v>
      </c>
      <c r="D35">
        <v>25.7</v>
      </c>
      <c r="E35">
        <v>26.4</v>
      </c>
      <c r="F35">
        <v>27.2</v>
      </c>
      <c r="G35">
        <v>28.1</v>
      </c>
      <c r="H35">
        <v>29.2</v>
      </c>
      <c r="I35">
        <v>30.2</v>
      </c>
      <c r="J35">
        <v>30.8</v>
      </c>
      <c r="K35">
        <v>28</v>
      </c>
      <c r="L35">
        <v>23.9</v>
      </c>
      <c r="M35">
        <v>21.4</v>
      </c>
    </row>
    <row r="36" spans="1:13" x14ac:dyDescent="0.3">
      <c r="A36" s="261" t="s">
        <v>1038</v>
      </c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</row>
    <row r="37" spans="1:13" x14ac:dyDescent="0.3">
      <c r="A37" s="180" t="s">
        <v>1039</v>
      </c>
      <c r="B37" s="193" t="s">
        <v>1040</v>
      </c>
      <c r="C37" s="182">
        <f>ASSUMPTIONS!C90</f>
        <v>1</v>
      </c>
      <c r="D37" s="182">
        <f>ASSUMPTIONS!D90</f>
        <v>1</v>
      </c>
      <c r="E37" s="182">
        <f>ASSUMPTIONS!E90</f>
        <v>1</v>
      </c>
      <c r="F37" s="182">
        <f>ASSUMPTIONS!F90</f>
        <v>1</v>
      </c>
      <c r="G37" s="182">
        <f>ASSUMPTIONS!G90</f>
        <v>1</v>
      </c>
      <c r="H37" s="182">
        <f>ASSUMPTIONS!H90</f>
        <v>1</v>
      </c>
      <c r="I37" s="182">
        <f>ASSUMPTIONS!I90</f>
        <v>1</v>
      </c>
      <c r="J37" s="182">
        <f>ASSUMPTIONS!J90</f>
        <v>1</v>
      </c>
      <c r="K37" s="182">
        <f>ASSUMPTIONS!K90</f>
        <v>1</v>
      </c>
      <c r="L37" s="182">
        <f>ASSUMPTIONS!L90</f>
        <v>0.6</v>
      </c>
      <c r="M37" s="182">
        <f>ASSUMPTIONS!M90</f>
        <v>0.4</v>
      </c>
    </row>
    <row r="38" spans="1:13" x14ac:dyDescent="0.3">
      <c r="A38" s="180" t="s">
        <v>1041</v>
      </c>
      <c r="B38" s="193" t="s">
        <v>1042</v>
      </c>
      <c r="C38" s="182">
        <f>ASSUMPTIONS!C91</f>
        <v>80</v>
      </c>
      <c r="D38" s="182">
        <f>ASSUMPTIONS!D91</f>
        <v>104.55499999999999</v>
      </c>
      <c r="E38" s="182">
        <f>ASSUMPTIONS!E91</f>
        <v>145.95030000000003</v>
      </c>
      <c r="F38" s="182">
        <f>ASSUMPTIONS!F91</f>
        <v>196.90747800000003</v>
      </c>
      <c r="G38" s="182">
        <f>ASSUMPTIONS!G91</f>
        <v>242.16999708000003</v>
      </c>
      <c r="H38" s="182">
        <f>ASSUMPTIONS!H91</f>
        <v>305.06013533680004</v>
      </c>
      <c r="I38" s="182">
        <f>ASSUMPTIONS!I91</f>
        <v>437.86860982734413</v>
      </c>
      <c r="J38" s="182">
        <f>ASSUMPTIONS!J91</f>
        <v>573.64709493745579</v>
      </c>
      <c r="K38" s="182">
        <f>ASSUMPTIONS!K91</f>
        <v>753.98583252169863</v>
      </c>
      <c r="L38" s="182">
        <f>ASSUMPTIONS!L91</f>
        <v>557.28820909944761</v>
      </c>
      <c r="M38" s="182">
        <f>ASSUMPTIONS!M91</f>
        <v>409.03293753049013</v>
      </c>
    </row>
    <row r="39" spans="1:13" x14ac:dyDescent="0.3">
      <c r="A39" s="180" t="s">
        <v>1043</v>
      </c>
      <c r="B39" s="193" t="s">
        <v>1044</v>
      </c>
      <c r="C39" s="182">
        <f>IF(ASSUMPTIONS!C90=0,0,HedgeCo!C14/(FedCo!C15+HedgeCo!C14)*ASSUMPTIONS!C90)</f>
        <v>0.50091107739439122</v>
      </c>
      <c r="D39" s="182">
        <f>IF(ASSUMPTIONS!D90=0,0,HedgeCo!D14/(FedCo!D15+HedgeCo!D14)*ASSUMPTIONS!D90)</f>
        <v>0.52906436219087538</v>
      </c>
      <c r="E39" s="182">
        <f>IF(ASSUMPTIONS!E90=0,0,HedgeCo!E14/(FedCo!E15+HedgeCo!E14)*ASSUMPTIONS!E90)</f>
        <v>0.61730267104714243</v>
      </c>
      <c r="F39" s="182">
        <f>IF(ASSUMPTIONS!F90=0,0,HedgeCo!F14/(FedCo!F15+HedgeCo!F14)*ASSUMPTIONS!F90)</f>
        <v>0.69527706258948685</v>
      </c>
      <c r="G39" s="182">
        <f>IF(ASSUMPTIONS!G90=0,0,HedgeCo!G14/(FedCo!G15+HedgeCo!G14)*ASSUMPTIONS!G90)</f>
        <v>0.84741764743655656</v>
      </c>
      <c r="H39" s="182">
        <f>IF(ASSUMPTIONS!H90=0,0,HedgeCo!H14/(FedCo!H15+HedgeCo!H14)*ASSUMPTIONS!H90)</f>
        <v>0.84992703821371363</v>
      </c>
      <c r="I39" s="182">
        <f>IF(ASSUMPTIONS!I90=0,0,HedgeCo!I14/(FedCo!I15+HedgeCo!I14)*ASSUMPTIONS!I90)</f>
        <v>0.86715077616474712</v>
      </c>
      <c r="J39" s="182">
        <f>IF(ASSUMPTIONS!J90=0,0,HedgeCo!J14/(FedCo!J15+HedgeCo!J14)*ASSUMPTIONS!J90)</f>
        <v>0.87505493280667912</v>
      </c>
      <c r="K39" s="182">
        <f>IF(ASSUMPTIONS!K90=0,0,HedgeCo!K14/(FedCo!K15+HedgeCo!K14)*ASSUMPTIONS!K90)</f>
        <v>0.90130780623424045</v>
      </c>
      <c r="L39" s="182">
        <f>IF(ASSUMPTIONS!L90=0,0,HedgeCo!L14/(FedCo!L15+HedgeCo!L14)*ASSUMPTIONS!L90)</f>
        <v>0.5497494577651727</v>
      </c>
      <c r="M39" s="182">
        <f>IF(ASSUMPTIONS!M90=0,0,HedgeCo!M14/(FedCo!M15+HedgeCo!M14)*ASSUMPTIONS!M90)</f>
        <v>0.37963099245952192</v>
      </c>
    </row>
    <row r="41" spans="1:13" x14ac:dyDescent="0.3">
      <c r="A41" s="261" t="s">
        <v>1045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</row>
    <row r="42" spans="1:13" x14ac:dyDescent="0.3">
      <c r="A42" s="183" t="s">
        <v>1046</v>
      </c>
      <c r="B42" s="197" t="s">
        <v>1047</v>
      </c>
      <c r="C42" s="185">
        <f>MAX(0,(MAX(0,60-(FinServCo!C5))+MAX(0,30-(AmeriBankCo!C6))+MAX(0,100-(AmeriCo!C10))))/150</f>
        <v>0</v>
      </c>
      <c r="D42" s="185">
        <f>MAX(0,(MAX(0,60-(FinServCo!D5))+MAX(0,30-(AmeriBankCo!D6))+MAX(0,100-(AmeriCo!D10))))/150</f>
        <v>0.49109999999999987</v>
      </c>
      <c r="E42" s="185">
        <f>MAX(0,(MAX(0,60-(FinServCo!E5))+MAX(0,30-(AmeriBankCo!E6))+MAX(0,100-(AmeriCo!E10))))/150</f>
        <v>1.0396686666666668</v>
      </c>
      <c r="F42" s="185">
        <f>MAX(0,(MAX(0,60-(FinServCo!F5))+MAX(0,30-(AmeriBankCo!F6))+MAX(0,100-(AmeriCo!F10))))/150</f>
        <v>1.2666666666666666</v>
      </c>
      <c r="G42" s="185">
        <f>MAX(0,(MAX(0,60-(FinServCo!G5))+MAX(0,30-(AmeriBankCo!G6))+MAX(0,100-(AmeriCo!G10))))/150</f>
        <v>1.2666666666666666</v>
      </c>
      <c r="H42" s="185">
        <f>MAX(0,(MAX(0,60-(FinServCo!H5))+MAX(0,30-(AmeriBankCo!H6))+MAX(0,100-(AmeriCo!H10))))/150</f>
        <v>1.2666666666666666</v>
      </c>
      <c r="I42" s="185">
        <f>MAX(0,(MAX(0,60-(FinServCo!I5))+MAX(0,30-(AmeriBankCo!I6))+MAX(0,100-(AmeriCo!I10))))/150</f>
        <v>1.2666666666666666</v>
      </c>
      <c r="J42" s="185">
        <f>MAX(0,(MAX(0,60-(FinServCo!J5))+MAX(0,30-(AmeriBankCo!J6))+MAX(0,100-(AmeriCo!J10))))/150</f>
        <v>1.2666666666666666</v>
      </c>
      <c r="K42" s="185">
        <f>MAX(0,(MAX(0,60-(FinServCo!K5))+MAX(0,30-(AmeriBankCo!K6))+MAX(0,100-(AmeriCo!K10))))/150</f>
        <v>1.2666666666666666</v>
      </c>
      <c r="L42" s="185">
        <f>MAX(0,(MAX(0,60-(FinServCo!L5))+MAX(0,30-(AmeriBankCo!L6))+MAX(0,100-(AmeriCo!L10))))/150</f>
        <v>1.2666666666666666</v>
      </c>
      <c r="M42" s="185">
        <f>MAX(0,(MAX(0,60-(FinServCo!M5))+MAX(0,30-(AmeriBankCo!M6))+MAX(0,100-(AmeriCo!M10))))/150</f>
        <v>1.2666666666666666</v>
      </c>
    </row>
    <row r="43" spans="1:13" x14ac:dyDescent="0.3">
      <c r="A43" s="189" t="s">
        <v>1048</v>
      </c>
      <c r="B43" s="197" t="s">
        <v>1049</v>
      </c>
      <c r="C43" s="185">
        <f>ASSUMPTIONS!C94+ASSUMPTIONS!C95*C42</f>
        <v>4.2000000000000003E-2</v>
      </c>
      <c r="D43" s="185">
        <f>ASSUMPTIONS!D94+ASSUMPTIONS!D95*D42</f>
        <v>6.80283E-2</v>
      </c>
      <c r="E43" s="185">
        <f>ASSUMPTIONS!E94+ASSUMPTIONS!E95*E42</f>
        <v>9.7102439333333346E-2</v>
      </c>
      <c r="F43" s="185">
        <f>ASSUMPTIONS!F94+ASSUMPTIONS!F95*F42</f>
        <v>0.10913333333333333</v>
      </c>
      <c r="G43" s="185">
        <f>ASSUMPTIONS!G94+ASSUMPTIONS!G95*G42</f>
        <v>0.10913333333333333</v>
      </c>
      <c r="H43" s="185">
        <f>ASSUMPTIONS!H94+ASSUMPTIONS!H95*H42</f>
        <v>0.10913333333333333</v>
      </c>
      <c r="I43" s="185">
        <f>ASSUMPTIONS!I94+ASSUMPTIONS!I95*I42</f>
        <v>0.10913333333333333</v>
      </c>
      <c r="J43" s="185">
        <f>ASSUMPTIONS!J94+ASSUMPTIONS!J95*J42</f>
        <v>0.10913333333333333</v>
      </c>
      <c r="K43" s="185">
        <f>ASSUMPTIONS!K94+ASSUMPTIONS!K95*K42</f>
        <v>0.10913333333333333</v>
      </c>
      <c r="L43" s="185">
        <f>ASSUMPTIONS!L94+ASSUMPTIONS!L95*L42</f>
        <v>0.12213333333333332</v>
      </c>
      <c r="M43" s="185">
        <f>ASSUMPTIONS!M94+ASSUMPTIONS!M95*M42</f>
        <v>0.14213333333333333</v>
      </c>
    </row>
    <row r="44" spans="1:13" x14ac:dyDescent="0.3">
      <c r="A44" s="183" t="s">
        <v>1050</v>
      </c>
      <c r="B44" s="197" t="s">
        <v>1051</v>
      </c>
      <c r="C44" s="185">
        <f>0.5*(1+ASSUMPTIONS!C96*(C43-ASSUMPTIONS!C94))</f>
        <v>0.5</v>
      </c>
      <c r="D44" s="185">
        <f>0.5*(1+ASSUMPTIONS!D96*(D43-ASSUMPTIONS!D94))</f>
        <v>0.5260283</v>
      </c>
      <c r="E44" s="185">
        <f>0.5*(1+ASSUMPTIONS!E96*(E43-ASSUMPTIONS!E94))</f>
        <v>0.55510243933333336</v>
      </c>
      <c r="F44" s="185">
        <f>0.5*(1+ASSUMPTIONS!F96*(F43-ASSUMPTIONS!F94))</f>
        <v>0.56713333333333327</v>
      </c>
      <c r="G44" s="185">
        <f>0.5*(1+ASSUMPTIONS!G96*(G43-ASSUMPTIONS!G94))</f>
        <v>0.56713333333333327</v>
      </c>
      <c r="H44" s="185">
        <f>0.5*(1+ASSUMPTIONS!H96*(H43-ASSUMPTIONS!H94))</f>
        <v>0.56713333333333327</v>
      </c>
      <c r="I44" s="185">
        <f>0.5*(1+ASSUMPTIONS!I96*(I43-ASSUMPTIONS!I94))</f>
        <v>0.56713333333333327</v>
      </c>
      <c r="J44" s="185">
        <f>0.5*(1+ASSUMPTIONS!J96*(J43-ASSUMPTIONS!J94))</f>
        <v>0.56713333333333327</v>
      </c>
      <c r="K44" s="185">
        <f>0.5*(1+ASSUMPTIONS!K96*(K43-ASSUMPTIONS!K94))</f>
        <v>0.56713333333333327</v>
      </c>
      <c r="L44" s="185">
        <f>0.5*(1+ASSUMPTIONS!L96*(L43-ASSUMPTIONS!L94))</f>
        <v>0.56713333333333327</v>
      </c>
      <c r="M44" s="185">
        <f>0.5*(1+ASSUMPTIONS!M96*(M43-ASSUMPTIONS!M94))</f>
        <v>0.56713333333333338</v>
      </c>
    </row>
    <row r="45" spans="1:13" x14ac:dyDescent="0.3">
      <c r="A45" s="183" t="s">
        <v>1052</v>
      </c>
      <c r="B45" s="197" t="s">
        <v>1053</v>
      </c>
      <c r="C45" s="185">
        <f>0.25*(1+ASSUMPTIONS!C97*(C43-ASSUMPTIONS!C94))</f>
        <v>0.25</v>
      </c>
      <c r="D45" s="185">
        <f>0.25*(1+ASSUMPTIONS!D97*(D43-ASSUMPTIONS!D94))</f>
        <v>0.25650707499999997</v>
      </c>
      <c r="E45" s="185">
        <f>0.25*(1+ASSUMPTIONS!E97*(E43-ASSUMPTIONS!E94))</f>
        <v>0.26377560983333331</v>
      </c>
      <c r="F45" s="185">
        <f>0.25*(1+ASSUMPTIONS!F97*(F43-ASSUMPTIONS!F94))</f>
        <v>0.26678333333333332</v>
      </c>
      <c r="G45" s="185">
        <f>0.25*(1+ASSUMPTIONS!G97*(G43-ASSUMPTIONS!G94))</f>
        <v>0.26678333333333332</v>
      </c>
      <c r="H45" s="185">
        <f>0.25*(1+ASSUMPTIONS!H97*(H43-ASSUMPTIONS!H94))</f>
        <v>0.26678333333333332</v>
      </c>
      <c r="I45" s="185">
        <f>0.25*(1+ASSUMPTIONS!I97*(I43-ASSUMPTIONS!I94))</f>
        <v>0.26678333333333332</v>
      </c>
      <c r="J45" s="185">
        <f>0.25*(1+ASSUMPTIONS!J97*(J43-ASSUMPTIONS!J94))</f>
        <v>0.26678333333333332</v>
      </c>
      <c r="K45" s="185">
        <f>0.25*(1+ASSUMPTIONS!K97*(K43-ASSUMPTIONS!K94))</f>
        <v>0.26678333333333332</v>
      </c>
      <c r="L45" s="185">
        <f>0.25*(1+ASSUMPTIONS!L97*(L43-ASSUMPTIONS!L94))</f>
        <v>0.26678333333333332</v>
      </c>
      <c r="M45" s="185">
        <f>0.25*(1+ASSUMPTIONS!M97*(M43-ASSUMPTIONS!M94))</f>
        <v>0.26678333333333332</v>
      </c>
    </row>
    <row r="46" spans="1:13" x14ac:dyDescent="0.3">
      <c r="A46" s="183" t="s">
        <v>1054</v>
      </c>
      <c r="B46" s="197" t="s">
        <v>1055</v>
      </c>
      <c r="C46" s="185">
        <f>0.25*(1+ASSUMPTIONS!C98*(C43-ASSUMPTIONS!C94))</f>
        <v>0.25</v>
      </c>
      <c r="D46" s="185">
        <f>0.25*(1+ASSUMPTIONS!D98*(D43-ASSUMPTIONS!D94))</f>
        <v>0.25195212249999999</v>
      </c>
      <c r="E46" s="185">
        <f>0.25*(1+ASSUMPTIONS!E98*(E43-ASSUMPTIONS!E94))</f>
        <v>0.25413268295000002</v>
      </c>
      <c r="F46" s="185">
        <f>0.25*(1+ASSUMPTIONS!F98*(F43-ASSUMPTIONS!F94))</f>
        <v>0.25503500000000001</v>
      </c>
      <c r="G46" s="185">
        <f>0.25*(1+ASSUMPTIONS!G98*(G43-ASSUMPTIONS!G94))</f>
        <v>0.25503500000000001</v>
      </c>
      <c r="H46" s="185">
        <f>0.25*(1+ASSUMPTIONS!H98*(H43-ASSUMPTIONS!H94))</f>
        <v>0.25503500000000001</v>
      </c>
      <c r="I46" s="185">
        <f>0.25*(1+ASSUMPTIONS!I98*(I43-ASSUMPTIONS!I94))</f>
        <v>0.25503500000000001</v>
      </c>
      <c r="J46" s="185">
        <f>0.25*(1+ASSUMPTIONS!J98*(J43-ASSUMPTIONS!J94))</f>
        <v>0.25503500000000001</v>
      </c>
      <c r="K46" s="185">
        <f>0.25*(1+ASSUMPTIONS!K98*(K43-ASSUMPTIONS!K94))</f>
        <v>0.25503500000000001</v>
      </c>
      <c r="L46" s="185">
        <f>0.25*(1+ASSUMPTIONS!L98*(L43-ASSUMPTIONS!L94))</f>
        <v>0.25503500000000001</v>
      </c>
      <c r="M46" s="185">
        <f>0.25*(1+ASSUMPTIONS!M98*(M43-ASSUMPTIONS!M94))</f>
        <v>0.25503500000000001</v>
      </c>
    </row>
    <row r="47" spans="1:13" x14ac:dyDescent="0.3">
      <c r="A47" s="188" t="s">
        <v>1056</v>
      </c>
      <c r="B47" s="193" t="s">
        <v>1057</v>
      </c>
      <c r="C47" s="182">
        <f>IF(C43&gt;ASSUMPTIONS!C99,ASSUMPTIONS!C100,1)</f>
        <v>1</v>
      </c>
      <c r="D47" s="182">
        <f>IF(D43&gt;ASSUMPTIONS!D99,ASSUMPTIONS!D100,1)</f>
        <v>0.4</v>
      </c>
      <c r="E47" s="182">
        <f>IF(E43&gt;ASSUMPTIONS!E99,ASSUMPTIONS!E100,1)</f>
        <v>0.4</v>
      </c>
      <c r="F47" s="182">
        <f>IF(F43&gt;ASSUMPTIONS!F99,ASSUMPTIONS!F100,1)</f>
        <v>0.4</v>
      </c>
      <c r="G47" s="182">
        <f>IF(G43&gt;ASSUMPTIONS!G99,ASSUMPTIONS!G100,1)</f>
        <v>0.4</v>
      </c>
      <c r="H47" s="182">
        <f>IF(H43&gt;ASSUMPTIONS!H99,ASSUMPTIONS!H100,1)</f>
        <v>0.4</v>
      </c>
      <c r="I47" s="182">
        <f>IF(I43&gt;ASSUMPTIONS!I99,ASSUMPTIONS!I100,1)</f>
        <v>0.4</v>
      </c>
      <c r="J47" s="182">
        <f>IF(J43&gt;ASSUMPTIONS!J99,ASSUMPTIONS!J100,1)</f>
        <v>0.4</v>
      </c>
      <c r="K47" s="182">
        <f>IF(K43&gt;ASSUMPTIONS!K99,ASSUMPTIONS!K100,1)</f>
        <v>0.4</v>
      </c>
      <c r="L47" s="182">
        <f>IF(L43&gt;ASSUMPTIONS!L99,ASSUMPTIONS!L100,1)</f>
        <v>0.4</v>
      </c>
      <c r="M47" s="182">
        <f>IF(M43&gt;ASSUMPTIONS!M99,ASSUMPTIONS!M100,1)</f>
        <v>0.4</v>
      </c>
    </row>
    <row r="48" spans="1:13" x14ac:dyDescent="0.3">
      <c r="A48" s="180" t="s">
        <v>1058</v>
      </c>
      <c r="B48" s="193" t="s">
        <v>1059</v>
      </c>
      <c r="C48" s="182">
        <f>HedgeCo!C4*C47</f>
        <v>80</v>
      </c>
      <c r="D48" s="182">
        <f>HedgeCo!D4*D47</f>
        <v>41.822000000000003</v>
      </c>
      <c r="E48" s="182">
        <f>HedgeCo!E4*E47</f>
        <v>58.380120000000012</v>
      </c>
      <c r="F48" s="182">
        <f>HedgeCo!F4*F47</f>
        <v>78.762991200000016</v>
      </c>
      <c r="G48" s="182">
        <f>HedgeCo!G4*G47</f>
        <v>96.867998832000012</v>
      </c>
      <c r="H48" s="182">
        <f>HedgeCo!H4*H47</f>
        <v>122.02405413472002</v>
      </c>
      <c r="I48" s="182">
        <f>HedgeCo!I4*I47</f>
        <v>175.14744393093767</v>
      </c>
      <c r="J48" s="182">
        <f>HedgeCo!J4*J47</f>
        <v>229.45883797498232</v>
      </c>
      <c r="K48" s="182">
        <f>HedgeCo!K4*K47</f>
        <v>301.59433300867948</v>
      </c>
      <c r="L48" s="182">
        <f>HedgeCo!L4*L47</f>
        <v>371.52547273296511</v>
      </c>
      <c r="M48" s="182">
        <f>HedgeCo!M4*M47</f>
        <v>409.03293753049013</v>
      </c>
    </row>
    <row r="49" spans="1:13" x14ac:dyDescent="0.3">
      <c r="A49" s="180" t="s">
        <v>1060</v>
      </c>
      <c r="B49" s="193" t="s">
        <v>1061</v>
      </c>
      <c r="C49" s="182">
        <f>IF(FedCo!C15+C48=0,0,C48/(FedCo!C15+C48))</f>
        <v>0.26666951114145215</v>
      </c>
      <c r="D49" s="182">
        <f>IF(FedCo!D15+D48=0,0,D48/(FedCo!D15+D48))</f>
        <v>0.16344561922991824</v>
      </c>
      <c r="E49" s="182">
        <f>IF(FedCo!E15+E48=0,0,E48/(FedCo!E15+E48))</f>
        <v>0.2190716068288279</v>
      </c>
      <c r="F49" s="182">
        <f>IF(FedCo!F15+F48=0,0,F48/(FedCo!F15+F48))</f>
        <v>0.28408409625210818</v>
      </c>
      <c r="G49" s="182">
        <f>IF(FedCo!G15+G48=0,0,G48/(FedCo!G15+G48))</f>
        <v>0.49132320651845468</v>
      </c>
      <c r="H49" s="182">
        <f>IF(FedCo!H15+H48=0,0,H48/(FedCo!H15+H48))</f>
        <v>0.49620733920466514</v>
      </c>
      <c r="I49" s="182">
        <f>IF(FedCo!I15+I48=0,0,I48/(FedCo!I15+I48))</f>
        <v>0.53165714232138839</v>
      </c>
      <c r="J49" s="182">
        <f>IF(FedCo!J15+J48=0,0,J48/(FedCo!J15+J48))</f>
        <v>0.54914398205656756</v>
      </c>
      <c r="K49" s="182">
        <f>IF(FedCo!K15+K48=0,0,K48/(FedCo!K15+K48))</f>
        <v>0.6136405356578245</v>
      </c>
      <c r="L49" s="182">
        <f>IF(FedCo!L15+L48=0,0,L48/(FedCo!L15+L48))</f>
        <v>0.6554858269447954</v>
      </c>
      <c r="M49" s="182">
        <f>IF(FedCo!M15+M48=0,0,M48/(FedCo!M15+M48))</f>
        <v>0.76330696010993704</v>
      </c>
    </row>
    <row r="50" spans="1:13" x14ac:dyDescent="0.3">
      <c r="A50" s="189" t="s">
        <v>1062</v>
      </c>
      <c r="B50" s="197" t="s">
        <v>1063</v>
      </c>
      <c r="C50" s="185">
        <f>MAX(0.1,1-(0.771*(1-(RepoCo!C16-1)*0.05)))</f>
        <v>0.22899999999999998</v>
      </c>
      <c r="D50" s="185">
        <f>MAX(0.1,1-(0.771*(1-(RepoCo!D16-1)*0.05)))</f>
        <v>0.22899999999999998</v>
      </c>
      <c r="E50" s="185">
        <f>MAX(0.1,1-(0.771*(1-(RepoCo!E16-1)*0.05)))</f>
        <v>0.22899999999999998</v>
      </c>
      <c r="F50" s="185">
        <f>MAX(0.1,1-(0.771*(1-(RepoCo!F16-1)*0.05)))</f>
        <v>0.22899999999999998</v>
      </c>
      <c r="G50" s="185">
        <f>MAX(0.1,1-(0.771*(1-(RepoCo!G16-1)*0.05)))</f>
        <v>0.22899999999999998</v>
      </c>
      <c r="H50" s="185">
        <f>MAX(0.1,1-(0.771*(1-(RepoCo!H16-1)*0.05)))</f>
        <v>0.22899999999999998</v>
      </c>
      <c r="I50" s="185">
        <f>MAX(0.1,1-(0.771*(1-(RepoCo!I16-1)*0.05)))</f>
        <v>0.22899999999999998</v>
      </c>
      <c r="J50" s="185">
        <f>MAX(0.1,1-(0.771*(1-(RepoCo!J16-1)*0.05)))</f>
        <v>0.22899999999999998</v>
      </c>
      <c r="K50" s="185">
        <f>MAX(0.1,1-(0.771*(1-(RepoCo!K16-1)*0.05)))</f>
        <v>0.22899999999999998</v>
      </c>
      <c r="L50" s="185">
        <f>MAX(0.1,1-(0.771*(1-(RepoCo!L16-1)*0.05)))</f>
        <v>0.22899999999999998</v>
      </c>
      <c r="M50" s="185">
        <f>MAX(0.1,1-(0.771*(1-(RepoCo!M16-1)*0.05)))</f>
        <v>0.22899999999999998</v>
      </c>
    </row>
    <row r="52" spans="1:13" x14ac:dyDescent="0.3">
      <c r="A52" s="261" t="s">
        <v>1064</v>
      </c>
      <c r="B52" s="259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</row>
    <row r="53" spans="1:13" x14ac:dyDescent="0.3">
      <c r="A53" s="186" t="s">
        <v>1065</v>
      </c>
      <c r="B53" s="231" t="s">
        <v>1066</v>
      </c>
      <c r="C53" s="187">
        <f>MAX(0,MEASURES!C43-ASSUMPTIONS!C114)</f>
        <v>2.0000000000000018E-3</v>
      </c>
      <c r="D53" s="187">
        <f>MAX(0,MEASURES!D43-ASSUMPTIONS!D114)</f>
        <v>2.8028299999999999E-2</v>
      </c>
      <c r="E53" s="187">
        <f>MAX(0,MEASURES!E43-ASSUMPTIONS!E114)</f>
        <v>5.7102439333333345E-2</v>
      </c>
      <c r="F53" s="187">
        <f>MAX(0,MEASURES!F43-ASSUMPTIONS!F114)</f>
        <v>6.9133333333333324E-2</v>
      </c>
      <c r="G53" s="187">
        <f>MAX(0,MEASURES!G43-ASSUMPTIONS!G114)</f>
        <v>6.9133333333333324E-2</v>
      </c>
      <c r="H53" s="187">
        <f>MAX(0,MEASURES!H43-ASSUMPTIONS!H114)</f>
        <v>6.9133333333333324E-2</v>
      </c>
      <c r="I53" s="187">
        <f>MAX(0,MEASURES!I43-ASSUMPTIONS!I114)</f>
        <v>6.9133333333333324E-2</v>
      </c>
      <c r="J53" s="187">
        <f>MAX(0,MEASURES!J43-ASSUMPTIONS!J114)</f>
        <v>6.9133333333333324E-2</v>
      </c>
      <c r="K53" s="187">
        <f>MAX(0,MEASURES!K43-ASSUMPTIONS!K114)</f>
        <v>6.9133333333333324E-2</v>
      </c>
      <c r="L53" s="187">
        <f>MAX(0,MEASURES!L43-ASSUMPTIONS!L114)</f>
        <v>8.2133333333333308E-2</v>
      </c>
      <c r="M53" s="187">
        <f>MAX(0,MEASURES!M43-ASSUMPTIONS!M114)</f>
        <v>0.10213333333333333</v>
      </c>
    </row>
    <row r="54" spans="1:13" x14ac:dyDescent="0.3">
      <c r="A54" s="186" t="s">
        <v>1067</v>
      </c>
      <c r="B54" s="231" t="s">
        <v>1068</v>
      </c>
      <c r="C54" s="187">
        <f>MEASURES!C53*ASSUMPTIONS!C115</f>
        <v>3.2000000000000032E-3</v>
      </c>
      <c r="D54" s="187">
        <f>MEASURES!D53*ASSUMPTIONS!D115</f>
        <v>4.4845280000000001E-2</v>
      </c>
      <c r="E54" s="187">
        <f>MEASURES!E53*ASSUMPTIONS!E115</f>
        <v>9.1363902933333352E-2</v>
      </c>
      <c r="F54" s="187">
        <f>MEASURES!F53*ASSUMPTIONS!F115</f>
        <v>0.11061333333333333</v>
      </c>
      <c r="G54" s="187">
        <f>MEASURES!G53*ASSUMPTIONS!G115</f>
        <v>0.11061333333333333</v>
      </c>
      <c r="H54" s="187">
        <f>MEASURES!H53*ASSUMPTIONS!H115</f>
        <v>0.11061333333333333</v>
      </c>
      <c r="I54" s="187">
        <f>MEASURES!I53*ASSUMPTIONS!I115</f>
        <v>0.11061333333333333</v>
      </c>
      <c r="J54" s="187">
        <f>MEASURES!J53*ASSUMPTIONS!J115</f>
        <v>0.11061333333333333</v>
      </c>
      <c r="K54" s="187">
        <f>MEASURES!K53*ASSUMPTIONS!K115</f>
        <v>0.11061333333333333</v>
      </c>
      <c r="L54" s="187">
        <f>MEASURES!L53*ASSUMPTIONS!L115</f>
        <v>0.1314133333333333</v>
      </c>
      <c r="M54" s="187">
        <f>MEASURES!M53*ASSUMPTIONS!M115</f>
        <v>0.16341333333333333</v>
      </c>
    </row>
    <row r="55" spans="1:13" x14ac:dyDescent="0.3">
      <c r="A55" s="204" t="s">
        <v>1069</v>
      </c>
      <c r="B55" s="202" t="s">
        <v>1070</v>
      </c>
      <c r="C55" s="203">
        <f>MIN(MEASURES!C43,ASSUMPTIONS!C114)</f>
        <v>0.04</v>
      </c>
      <c r="D55" s="203">
        <f>MIN(MEASURES!D43,ASSUMPTIONS!D114)</f>
        <v>0.04</v>
      </c>
      <c r="E55" s="203">
        <f>MIN(MEASURES!E43,ASSUMPTIONS!E114)</f>
        <v>0.04</v>
      </c>
      <c r="F55" s="203">
        <f>MIN(MEASURES!F43,ASSUMPTIONS!F114)</f>
        <v>0.04</v>
      </c>
      <c r="G55" s="203">
        <f>MIN(MEASURES!G43,ASSUMPTIONS!G114)</f>
        <v>0.04</v>
      </c>
      <c r="H55" s="203">
        <f>MIN(MEASURES!H43,ASSUMPTIONS!H114)</f>
        <v>0.04</v>
      </c>
      <c r="I55" s="203">
        <f>MIN(MEASURES!I43,ASSUMPTIONS!I114)</f>
        <v>0.04</v>
      </c>
      <c r="J55" s="203">
        <f>MIN(MEASURES!J43,ASSUMPTIONS!J114)</f>
        <v>0.04</v>
      </c>
      <c r="K55" s="203">
        <f>MIN(MEASURES!K43,ASSUMPTIONS!K114)</f>
        <v>0.04</v>
      </c>
      <c r="L55" s="203">
        <f>MIN(MEASURES!L43,ASSUMPTIONS!L114)</f>
        <v>0.04</v>
      </c>
      <c r="M55" s="203">
        <f>MIN(MEASURES!M43,ASSUMPTIONS!M114)</f>
        <v>0.04</v>
      </c>
    </row>
    <row r="56" spans="1:13" x14ac:dyDescent="0.3">
      <c r="A56" s="200" t="s">
        <v>1071</v>
      </c>
      <c r="B56" s="202" t="s">
        <v>1072</v>
      </c>
      <c r="C56" s="216">
        <f>MEASURES!C43-MEASURES!C55</f>
        <v>2.0000000000000018E-3</v>
      </c>
      <c r="D56" s="216">
        <f>MEASURES!D43-MEASURES!D55</f>
        <v>2.8028299999999999E-2</v>
      </c>
      <c r="E56" s="216">
        <f>MEASURES!E43-MEASURES!E55</f>
        <v>5.7102439333333345E-2</v>
      </c>
      <c r="F56" s="216">
        <f>MEASURES!F43-MEASURES!F55</f>
        <v>6.9133333333333324E-2</v>
      </c>
      <c r="G56" s="216">
        <f>MEASURES!G43-MEASURES!G55</f>
        <v>6.9133333333333324E-2</v>
      </c>
      <c r="H56" s="216">
        <f>MEASURES!H43-MEASURES!H55</f>
        <v>6.9133333333333324E-2</v>
      </c>
      <c r="I56" s="216">
        <f>MEASURES!I43-MEASURES!I55</f>
        <v>6.9133333333333324E-2</v>
      </c>
      <c r="J56" s="216">
        <f>MEASURES!J43-MEASURES!J55</f>
        <v>6.9133333333333324E-2</v>
      </c>
      <c r="K56" s="216">
        <f>MEASURES!K43-MEASURES!K55</f>
        <v>6.9133333333333324E-2</v>
      </c>
      <c r="L56" s="216">
        <f>MEASURES!L43-MEASURES!L55</f>
        <v>8.2133333333333308E-2</v>
      </c>
      <c r="M56" s="216">
        <f>MEASURES!M43-MEASURES!M55</f>
        <v>0.10213333333333333</v>
      </c>
    </row>
    <row r="57" spans="1:13" x14ac:dyDescent="0.3">
      <c r="A57" s="286" t="s">
        <v>1073</v>
      </c>
      <c r="B57" s="259"/>
      <c r="C57" s="259"/>
      <c r="D57" s="259"/>
      <c r="E57" s="259"/>
      <c r="F57" s="259"/>
      <c r="G57" s="259"/>
      <c r="H57" s="259"/>
      <c r="I57" s="259"/>
      <c r="J57" s="259"/>
      <c r="K57" s="259"/>
      <c r="L57" s="259"/>
      <c r="M57" s="259"/>
    </row>
    <row r="58" spans="1:13" x14ac:dyDescent="0.3">
      <c r="A58" s="180" t="s">
        <v>1074</v>
      </c>
      <c r="B58" s="193" t="s">
        <v>1075</v>
      </c>
      <c r="C58" s="182">
        <f>IF(ASSUMPTIONS!C116=1,(MAX(0,100-AmeriCo!C10))*ASSUMPTIONS!C117,0)</f>
        <v>0</v>
      </c>
      <c r="D58" s="182">
        <f>IF(ASSUMPTIONS!D116=1,(MAX(0,100-AmeriCo!D10))*ASSUMPTIONS!D117,0)</f>
        <v>0</v>
      </c>
      <c r="E58" s="182">
        <f>IF(ASSUMPTIONS!E116=1,(MAX(0,100-AmeriCo!E10))*ASSUMPTIONS!E117,0)</f>
        <v>0</v>
      </c>
      <c r="F58" s="182">
        <f>IF(ASSUMPTIONS!F116=1,(MAX(0,100-AmeriCo!F10))*ASSUMPTIONS!F117,0)</f>
        <v>0</v>
      </c>
      <c r="G58" s="182">
        <f>IF(ASSUMPTIONS!G116=1,(MAX(0,100-AmeriCo!G10))*ASSUMPTIONS!G117,0)</f>
        <v>0</v>
      </c>
      <c r="H58" s="182">
        <f>IF(ASSUMPTIONS!H116=1,(MAX(0,100-AmeriCo!H10))*ASSUMPTIONS!H117,0)</f>
        <v>0</v>
      </c>
      <c r="I58" s="182">
        <f>IF(ASSUMPTIONS!I116=1,(MAX(0,100-AmeriCo!I10))*ASSUMPTIONS!I117,0)</f>
        <v>0</v>
      </c>
      <c r="J58" s="182">
        <f>IF(ASSUMPTIONS!J116=1,(MAX(0,100-AmeriCo!J10))*ASSUMPTIONS!J117,0)</f>
        <v>0</v>
      </c>
      <c r="K58" s="182">
        <f>IF(ASSUMPTIONS!K116=1,(MAX(0,100-AmeriCo!K10))*ASSUMPTIONS!K117,0)</f>
        <v>20</v>
      </c>
      <c r="L58" s="182">
        <f>IF(ASSUMPTIONS!L116=1,(MAX(0,100-AmeriCo!L10))*ASSUMPTIONS!L117,0)</f>
        <v>20</v>
      </c>
      <c r="M58" s="182">
        <f>IF(ASSUMPTIONS!M116=1,(MAX(0,100-AmeriCo!M10))*ASSUMPTIONS!M117,0)</f>
        <v>20</v>
      </c>
    </row>
    <row r="59" spans="1:13" x14ac:dyDescent="0.3">
      <c r="A59" s="180" t="s">
        <v>1076</v>
      </c>
      <c r="B59" s="193" t="s">
        <v>1077</v>
      </c>
      <c r="C59" s="182">
        <f>MEASURES!C42*(1-IF(ASSUMPTIONS!C116=1,ASSUMPTIONS!C117,0))</f>
        <v>0</v>
      </c>
      <c r="D59" s="182">
        <f>MEASURES!D42*(1-IF(ASSUMPTIONS!D116=1,ASSUMPTIONS!D117,0))</f>
        <v>0.49109999999999987</v>
      </c>
      <c r="E59" s="182">
        <f>MEASURES!E42*(1-IF(ASSUMPTIONS!E116=1,ASSUMPTIONS!E117,0))</f>
        <v>1.0396686666666668</v>
      </c>
      <c r="F59" s="182">
        <f>MEASURES!F42*(1-IF(ASSUMPTIONS!F116=1,ASSUMPTIONS!F117,0))</f>
        <v>1.2666666666666666</v>
      </c>
      <c r="G59" s="182">
        <f>MEASURES!G42*(1-IF(ASSUMPTIONS!G116=1,ASSUMPTIONS!G117,0))</f>
        <v>1.2666666666666666</v>
      </c>
      <c r="H59" s="182">
        <f>MEASURES!H42*(1-IF(ASSUMPTIONS!H116=1,ASSUMPTIONS!H117,0))</f>
        <v>1.2666666666666666</v>
      </c>
      <c r="I59" s="182">
        <f>MEASURES!I42*(1-IF(ASSUMPTIONS!I116=1,ASSUMPTIONS!I117,0))</f>
        <v>1.2666666666666666</v>
      </c>
      <c r="J59" s="182">
        <f>MEASURES!J42*(1-IF(ASSUMPTIONS!J116=1,ASSUMPTIONS!J117,0))</f>
        <v>1.2666666666666666</v>
      </c>
      <c r="K59" s="182">
        <f>MEASURES!K42*(1-IF(ASSUMPTIONS!K116=1,ASSUMPTIONS!K117,0))</f>
        <v>1.0133333333333334</v>
      </c>
      <c r="L59" s="182">
        <f>MEASURES!L42*(1-IF(ASSUMPTIONS!L116=1,ASSUMPTIONS!L117,0))</f>
        <v>1.0133333333333334</v>
      </c>
      <c r="M59" s="182">
        <f>MEASURES!M42*(1-IF(ASSUMPTIONS!M116=1,ASSUMPTIONS!M117,0))</f>
        <v>1.0133333333333334</v>
      </c>
    </row>
    <row r="60" spans="1:13" x14ac:dyDescent="0.3">
      <c r="A60" s="277" t="s">
        <v>1078</v>
      </c>
      <c r="B60" s="259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</row>
    <row r="61" spans="1:13" x14ac:dyDescent="0.3">
      <c r="A61" s="172" t="s">
        <v>1079</v>
      </c>
      <c r="B61" s="195" t="s">
        <v>1080</v>
      </c>
      <c r="C61" s="174">
        <v>38</v>
      </c>
      <c r="D61" s="174">
        <v>38</v>
      </c>
      <c r="E61" s="174">
        <v>38</v>
      </c>
      <c r="F61" s="174">
        <v>38</v>
      </c>
      <c r="G61" s="174">
        <v>38</v>
      </c>
      <c r="H61" s="174">
        <v>38</v>
      </c>
      <c r="I61" s="174">
        <v>38</v>
      </c>
      <c r="J61" s="174">
        <v>38</v>
      </c>
      <c r="K61" s="174">
        <v>38</v>
      </c>
      <c r="L61" s="174">
        <v>38</v>
      </c>
      <c r="M61" s="174">
        <v>38</v>
      </c>
    </row>
    <row r="62" spans="1:13" x14ac:dyDescent="0.3">
      <c r="A62" s="172" t="s">
        <v>1081</v>
      </c>
      <c r="B62" s="195" t="s">
        <v>1082</v>
      </c>
      <c r="C62" s="174">
        <v>200</v>
      </c>
      <c r="D62" s="174">
        <v>201</v>
      </c>
      <c r="E62" s="174">
        <v>201</v>
      </c>
      <c r="F62" s="174">
        <v>202</v>
      </c>
      <c r="G62" s="174">
        <v>202</v>
      </c>
      <c r="H62" s="174">
        <v>202</v>
      </c>
      <c r="I62" s="174">
        <v>202</v>
      </c>
      <c r="J62" s="174">
        <v>201</v>
      </c>
      <c r="K62" s="174">
        <v>201</v>
      </c>
      <c r="L62" s="174">
        <v>211</v>
      </c>
      <c r="M62" s="174">
        <v>219</v>
      </c>
    </row>
    <row r="63" spans="1:13" x14ac:dyDescent="0.3">
      <c r="A63" s="176" t="s">
        <v>1083</v>
      </c>
      <c r="B63" s="199" t="s">
        <v>1084</v>
      </c>
      <c r="C63" s="178">
        <v>-6.5</v>
      </c>
      <c r="D63" s="178">
        <v>-6.6</v>
      </c>
      <c r="E63" s="178">
        <v>-6.6</v>
      </c>
      <c r="F63" s="178">
        <v>-6.7</v>
      </c>
      <c r="G63" s="178">
        <v>-6.8</v>
      </c>
      <c r="H63" s="178">
        <v>-6.8</v>
      </c>
      <c r="I63" s="178">
        <v>-6.9</v>
      </c>
      <c r="J63" s="178">
        <v>-7</v>
      </c>
      <c r="K63" s="178">
        <v>-7</v>
      </c>
      <c r="L63" s="178">
        <v>-7.1</v>
      </c>
      <c r="M63" s="178">
        <v>-7.2</v>
      </c>
    </row>
    <row r="64" spans="1:13" x14ac:dyDescent="0.3">
      <c r="A64" t="s">
        <v>1085</v>
      </c>
      <c r="C64">
        <v>32</v>
      </c>
      <c r="D64">
        <v>32</v>
      </c>
      <c r="E64">
        <v>32</v>
      </c>
      <c r="F64">
        <v>32</v>
      </c>
      <c r="G64">
        <v>32</v>
      </c>
      <c r="H64">
        <v>32</v>
      </c>
      <c r="I64">
        <v>31.9</v>
      </c>
      <c r="J64">
        <v>32</v>
      </c>
      <c r="K64">
        <v>32</v>
      </c>
      <c r="L64">
        <v>32</v>
      </c>
      <c r="M64">
        <v>32</v>
      </c>
    </row>
  </sheetData>
  <mergeCells count="9">
    <mergeCell ref="A60:M60"/>
    <mergeCell ref="A19:M19"/>
    <mergeCell ref="A36:M36"/>
    <mergeCell ref="A1:M1"/>
    <mergeCell ref="A3:M3"/>
    <mergeCell ref="A29:M29"/>
    <mergeCell ref="A57:M57"/>
    <mergeCell ref="A41:M41"/>
    <mergeCell ref="A52:M52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47"/>
  <sheetViews>
    <sheetView zoomScaleNormal="100" workbookViewId="0"/>
  </sheetViews>
  <sheetFormatPr defaultColWidth="8.6640625" defaultRowHeight="14.4" x14ac:dyDescent="0.3"/>
  <cols>
    <col min="1" max="1" width="52" customWidth="1"/>
    <col min="2" max="2" width="18" customWidth="1"/>
    <col min="3" max="8" width="14" customWidth="1"/>
    <col min="9" max="9" width="18" customWidth="1"/>
  </cols>
  <sheetData>
    <row r="1" spans="1:9" ht="24" customHeight="1" x14ac:dyDescent="0.3">
      <c r="A1" s="292" t="s">
        <v>1086</v>
      </c>
      <c r="B1" s="259"/>
      <c r="C1" s="259"/>
      <c r="D1" s="259"/>
      <c r="E1" s="259"/>
      <c r="F1" s="259"/>
      <c r="G1" s="259"/>
      <c r="H1" s="259"/>
      <c r="I1" s="259"/>
    </row>
    <row r="2" spans="1:9" ht="30" customHeight="1" x14ac:dyDescent="0.3">
      <c r="A2" s="116" t="s">
        <v>1087</v>
      </c>
    </row>
    <row r="3" spans="1:9" ht="15" customHeight="1" x14ac:dyDescent="0.3">
      <c r="A3" s="117" t="s">
        <v>106</v>
      </c>
      <c r="B3" s="117" t="s">
        <v>432</v>
      </c>
      <c r="C3" s="117" t="s">
        <v>1088</v>
      </c>
      <c r="D3" s="117" t="s">
        <v>1089</v>
      </c>
      <c r="E3" s="117" t="s">
        <v>1090</v>
      </c>
      <c r="F3" s="117" t="s">
        <v>1091</v>
      </c>
      <c r="G3" s="117" t="s">
        <v>1092</v>
      </c>
      <c r="H3" s="117" t="s">
        <v>1093</v>
      </c>
      <c r="I3" s="117" t="s">
        <v>1094</v>
      </c>
    </row>
    <row r="5" spans="1:9" ht="19.5" customHeight="1" x14ac:dyDescent="0.3">
      <c r="A5" s="291" t="s">
        <v>1095</v>
      </c>
      <c r="B5" s="259"/>
      <c r="C5" s="259"/>
      <c r="D5" s="259"/>
      <c r="E5" s="259"/>
      <c r="F5" s="259"/>
      <c r="G5" s="259"/>
      <c r="H5" s="259"/>
      <c r="I5" s="259"/>
    </row>
    <row r="6" spans="1:9" ht="15" customHeight="1" x14ac:dyDescent="0.3">
      <c r="A6" s="288" t="s">
        <v>1096</v>
      </c>
      <c r="B6" s="259"/>
    </row>
    <row r="7" spans="1:9" ht="15" customHeight="1" x14ac:dyDescent="0.3">
      <c r="A7" s="118" t="s">
        <v>1097</v>
      </c>
      <c r="B7" s="118" t="s">
        <v>1098</v>
      </c>
      <c r="C7" s="119">
        <v>500</v>
      </c>
      <c r="H7" s="22">
        <v>500</v>
      </c>
      <c r="I7" s="118" t="s">
        <v>1099</v>
      </c>
    </row>
    <row r="8" spans="1:9" ht="15" customHeight="1" x14ac:dyDescent="0.3">
      <c r="A8" s="118" t="s">
        <v>1100</v>
      </c>
      <c r="B8" s="118" t="s">
        <v>1101</v>
      </c>
      <c r="C8" s="120">
        <v>20</v>
      </c>
      <c r="H8" s="120">
        <v>20</v>
      </c>
      <c r="I8" s="118" t="s">
        <v>1102</v>
      </c>
    </row>
    <row r="9" spans="1:9" ht="15" customHeight="1" x14ac:dyDescent="0.3">
      <c r="A9" s="60" t="s">
        <v>1103</v>
      </c>
      <c r="B9" s="60">
        <f>C7/C8</f>
        <v>25</v>
      </c>
      <c r="C9" s="121">
        <f>C7/C8</f>
        <v>25</v>
      </c>
    </row>
    <row r="10" spans="1:9" ht="15" customHeight="1" x14ac:dyDescent="0.3">
      <c r="A10" s="118" t="s">
        <v>1104</v>
      </c>
      <c r="B10" s="118" t="s">
        <v>1105</v>
      </c>
      <c r="C10" s="122">
        <v>0.02</v>
      </c>
    </row>
    <row r="11" spans="1:9" ht="23.25" customHeight="1" x14ac:dyDescent="0.3">
      <c r="A11" s="118" t="s">
        <v>1106</v>
      </c>
      <c r="B11" s="118" t="s">
        <v>1107</v>
      </c>
      <c r="C11" s="122">
        <v>3.3000000000000002E-2</v>
      </c>
    </row>
    <row r="12" spans="1:9" ht="23.25" customHeight="1" x14ac:dyDescent="0.3">
      <c r="A12" s="118" t="s">
        <v>1108</v>
      </c>
      <c r="B12" s="118" t="s">
        <v>1109</v>
      </c>
      <c r="C12" s="122">
        <v>0.3</v>
      </c>
    </row>
    <row r="13" spans="1:9" ht="23.25" customHeight="1" x14ac:dyDescent="0.3">
      <c r="A13" s="118" t="s">
        <v>1110</v>
      </c>
      <c r="B13" s="123" t="s">
        <v>1111</v>
      </c>
      <c r="C13" s="22">
        <v>150</v>
      </c>
    </row>
    <row r="14" spans="1:9" ht="15" customHeight="1" x14ac:dyDescent="0.3">
      <c r="A14" s="118" t="s">
        <v>1112</v>
      </c>
      <c r="B14" s="118" t="s">
        <v>1113</v>
      </c>
      <c r="C14" s="120">
        <v>8</v>
      </c>
    </row>
    <row r="15" spans="1:9" ht="6" customHeight="1" x14ac:dyDescent="0.3"/>
    <row r="16" spans="1:9" ht="15" customHeight="1" x14ac:dyDescent="0.3">
      <c r="A16" s="288" t="s">
        <v>1114</v>
      </c>
      <c r="B16" s="259"/>
      <c r="C16" s="259"/>
      <c r="D16" s="259"/>
      <c r="E16" s="259"/>
      <c r="F16" s="259"/>
      <c r="G16" s="259"/>
      <c r="H16" s="259"/>
      <c r="I16" s="259"/>
    </row>
    <row r="17" spans="1:9" ht="15" customHeight="1" x14ac:dyDescent="0.3">
      <c r="C17" s="124" t="s">
        <v>1088</v>
      </c>
      <c r="D17" s="124" t="s">
        <v>1089</v>
      </c>
      <c r="E17" s="124" t="s">
        <v>1090</v>
      </c>
      <c r="F17" s="124" t="s">
        <v>1091</v>
      </c>
      <c r="G17" s="124" t="s">
        <v>1092</v>
      </c>
      <c r="H17" s="124" t="s">
        <v>1093</v>
      </c>
      <c r="I17" s="124" t="s">
        <v>1094</v>
      </c>
    </row>
    <row r="18" spans="1:9" ht="23.25" customHeight="1" x14ac:dyDescent="0.3">
      <c r="A18" s="60" t="s">
        <v>1115</v>
      </c>
      <c r="B18" s="60" t="s">
        <v>1116</v>
      </c>
      <c r="C18" s="125">
        <f>C7</f>
        <v>500</v>
      </c>
      <c r="D18" s="125">
        <f>C18*(1-$C$12)</f>
        <v>350</v>
      </c>
      <c r="E18" s="125">
        <f>D18*(1-$C$12)</f>
        <v>244.99999999999997</v>
      </c>
      <c r="F18" s="125">
        <f>E18*(1-$C$12)</f>
        <v>171.49999999999997</v>
      </c>
      <c r="G18" s="125">
        <f>F18*(1-$C$12)</f>
        <v>120.04999999999997</v>
      </c>
      <c r="I18" s="60" t="s">
        <v>1099</v>
      </c>
    </row>
    <row r="19" spans="1:9" ht="34.5" customHeight="1" x14ac:dyDescent="0.3">
      <c r="A19" s="60" t="s">
        <v>1117</v>
      </c>
      <c r="B19" s="60" t="s">
        <v>1118</v>
      </c>
      <c r="C19" s="126">
        <f>C9-C10*C7</f>
        <v>15</v>
      </c>
      <c r="D19" s="126">
        <f>MAX(0,C19-$C$10*C18)</f>
        <v>5</v>
      </c>
      <c r="E19" s="126">
        <f>MAX(0,D19-$C$10*D18)</f>
        <v>0</v>
      </c>
      <c r="F19" s="126">
        <f>MAX(0,E19-$C$10*E18)</f>
        <v>0</v>
      </c>
      <c r="G19" s="126">
        <f>MAX(0,F19-$C$10*F18)</f>
        <v>0</v>
      </c>
      <c r="H19" s="126">
        <f>G19</f>
        <v>0</v>
      </c>
      <c r="I19" s="60" t="s">
        <v>1099</v>
      </c>
    </row>
    <row r="20" spans="1:9" ht="34.5" customHeight="1" x14ac:dyDescent="0.3">
      <c r="A20" s="60" t="s">
        <v>1119</v>
      </c>
      <c r="B20" s="60" t="s">
        <v>1120</v>
      </c>
      <c r="C20" s="125">
        <f>$C$10*C18</f>
        <v>10</v>
      </c>
      <c r="D20" s="125">
        <f>$C$10*D18</f>
        <v>7</v>
      </c>
      <c r="E20" s="125">
        <f>$C$10*E18</f>
        <v>4.8999999999999995</v>
      </c>
      <c r="F20" s="125">
        <f>$C$10*F18</f>
        <v>3.4299999999999997</v>
      </c>
      <c r="G20" s="125">
        <f>$C$10*G18</f>
        <v>2.4009999999999994</v>
      </c>
      <c r="H20" s="125">
        <f>SUM(C20:G20)</f>
        <v>27.730999999999998</v>
      </c>
      <c r="I20" s="60" t="s">
        <v>1099</v>
      </c>
    </row>
    <row r="21" spans="1:9" ht="45.75" customHeight="1" x14ac:dyDescent="0.3">
      <c r="A21" s="127" t="s">
        <v>1121</v>
      </c>
      <c r="B21" s="127" t="s">
        <v>1122</v>
      </c>
      <c r="C21" s="128">
        <f>$C$10*C18*0.5</f>
        <v>5</v>
      </c>
      <c r="D21" s="128">
        <f>$C$10*D18*0.5</f>
        <v>3.5</v>
      </c>
      <c r="E21" s="128">
        <f>$C$10*E18*0.5</f>
        <v>2.4499999999999997</v>
      </c>
      <c r="F21" s="128">
        <f>$C$10*F18*0.5</f>
        <v>1.7149999999999999</v>
      </c>
      <c r="G21" s="128">
        <f>$C$10*G18*0.5</f>
        <v>1.2004999999999997</v>
      </c>
      <c r="H21" s="128">
        <f>SUM(C21:G21)</f>
        <v>13.865499999999999</v>
      </c>
      <c r="I21" s="127" t="s">
        <v>1099</v>
      </c>
    </row>
    <row r="22" spans="1:9" ht="23.25" customHeight="1" x14ac:dyDescent="0.3">
      <c r="A22" s="60" t="s">
        <v>1123</v>
      </c>
      <c r="B22" s="60" t="s">
        <v>1124</v>
      </c>
      <c r="C22" s="125">
        <f>$C$12*C18</f>
        <v>150</v>
      </c>
      <c r="D22" s="125">
        <f>$C$12*D18</f>
        <v>105</v>
      </c>
      <c r="E22" s="125">
        <f>$C$12*E18</f>
        <v>73.499999999999986</v>
      </c>
      <c r="F22" s="125">
        <f>$C$12*F18</f>
        <v>51.449999999999989</v>
      </c>
      <c r="G22" s="125">
        <f>$C$12*G18</f>
        <v>36.014999999999986</v>
      </c>
      <c r="H22" s="125">
        <f>SUM(C22:G22)</f>
        <v>415.96499999999997</v>
      </c>
      <c r="I22" s="60" t="s">
        <v>1099</v>
      </c>
    </row>
    <row r="23" spans="1:9" ht="34.5" customHeight="1" x14ac:dyDescent="0.3">
      <c r="A23" s="127" t="s">
        <v>1125</v>
      </c>
      <c r="B23" s="129" t="s">
        <v>1126</v>
      </c>
      <c r="C23" s="128">
        <f>MAX(0,C22-$C$13)</f>
        <v>0</v>
      </c>
      <c r="D23" s="128">
        <f>MAX(0,D22-$C$13*0.05)</f>
        <v>97.5</v>
      </c>
      <c r="E23" s="128">
        <f>MAX(0,E22-$C$13*0.05)</f>
        <v>65.999999999999986</v>
      </c>
      <c r="F23" s="128">
        <f>MAX(0,F22-$C$13*0.05)</f>
        <v>43.949999999999989</v>
      </c>
      <c r="G23" s="128">
        <f>MAX(0,G22-$C$13*0.05)</f>
        <v>28.514999999999986</v>
      </c>
      <c r="H23" s="128">
        <f>SUM(C23:G23)</f>
        <v>235.96499999999997</v>
      </c>
      <c r="I23" s="127" t="s">
        <v>1099</v>
      </c>
    </row>
    <row r="24" spans="1:9" ht="45.75" customHeight="1" x14ac:dyDescent="0.3">
      <c r="A24" s="130" t="s">
        <v>1127</v>
      </c>
      <c r="B24" s="130" t="s">
        <v>1128</v>
      </c>
      <c r="C24" s="131">
        <f>C23/100*$C$14</f>
        <v>0</v>
      </c>
      <c r="D24" s="131">
        <f>D23/100*$C$14</f>
        <v>7.8</v>
      </c>
      <c r="E24" s="131">
        <f>E23/100*$C$14</f>
        <v>5.2799999999999985</v>
      </c>
      <c r="F24" s="131">
        <f>F23/100*$C$14</f>
        <v>3.5159999999999991</v>
      </c>
      <c r="G24" s="131">
        <f>G23/100*$C$14</f>
        <v>2.2811999999999988</v>
      </c>
      <c r="H24" s="131">
        <f>SUM(C24:G24)</f>
        <v>18.877199999999995</v>
      </c>
      <c r="I24" s="130" t="s">
        <v>1129</v>
      </c>
    </row>
    <row r="25" spans="1:9" ht="6" customHeight="1" x14ac:dyDescent="0.3"/>
    <row r="26" spans="1:9" ht="15" customHeight="1" x14ac:dyDescent="0.3">
      <c r="A26" s="288" t="s">
        <v>1130</v>
      </c>
      <c r="B26" s="259"/>
      <c r="C26" s="259"/>
      <c r="D26" s="259"/>
      <c r="E26" s="259"/>
      <c r="F26" s="259"/>
      <c r="G26" s="259"/>
      <c r="H26" s="259"/>
      <c r="I26" s="259"/>
    </row>
    <row r="27" spans="1:9" ht="15" customHeight="1" x14ac:dyDescent="0.3">
      <c r="A27" s="130" t="s">
        <v>1131</v>
      </c>
      <c r="C27" s="132">
        <f>H22</f>
        <v>415.96499999999997</v>
      </c>
      <c r="I27" s="130" t="s">
        <v>1099</v>
      </c>
    </row>
    <row r="28" spans="1:9" ht="15" customHeight="1" x14ac:dyDescent="0.3">
      <c r="A28" s="130" t="s">
        <v>1132</v>
      </c>
      <c r="C28" s="133">
        <f>H24</f>
        <v>18.877199999999995</v>
      </c>
      <c r="I28" s="130" t="s">
        <v>1129</v>
      </c>
    </row>
    <row r="29" spans="1:9" ht="15" customHeight="1" x14ac:dyDescent="0.3">
      <c r="A29" s="130" t="s">
        <v>1133</v>
      </c>
      <c r="C29" s="134" t="str">
        <f ca="1">IFERROR(MATCH(TRUE(),INDIRECT("C19:G19")&lt;=0,0),"Not wiped")</f>
        <v>Not wiped</v>
      </c>
      <c r="I29" s="130" t="s">
        <v>1134</v>
      </c>
    </row>
    <row r="30" spans="1:9" ht="34.5" customHeight="1" x14ac:dyDescent="0.3">
      <c r="A30" s="130" t="s">
        <v>1135</v>
      </c>
      <c r="B30" s="135" t="s">
        <v>1136</v>
      </c>
      <c r="C30" s="132">
        <f>H22*3.85</f>
        <v>1601.46525</v>
      </c>
      <c r="I30" s="130" t="s">
        <v>1099</v>
      </c>
    </row>
    <row r="31" spans="1:9" ht="23.25" customHeight="1" x14ac:dyDescent="0.3">
      <c r="A31" s="130" t="s">
        <v>1137</v>
      </c>
      <c r="B31" s="130" t="s">
        <v>1138</v>
      </c>
      <c r="C31" s="136">
        <f>MEASURES!K10</f>
        <v>0</v>
      </c>
    </row>
    <row r="32" spans="1:9" ht="23.25" customHeight="1" x14ac:dyDescent="0.3">
      <c r="A32" s="130" t="s">
        <v>1139</v>
      </c>
      <c r="C32" s="132">
        <f>(HedgeCo!M14+C30)/(FedCo!M15+HedgeCo!M14)</f>
        <v>1.5920358461273456</v>
      </c>
    </row>
    <row r="33" spans="1:9" ht="15" customHeight="1" x14ac:dyDescent="0.3">
      <c r="A33" s="130" t="s">
        <v>1140</v>
      </c>
      <c r="C33" s="132">
        <f>FedCo!M15-C30</f>
        <v>-1474.6286633333334</v>
      </c>
    </row>
    <row r="34" spans="1:9" ht="12" customHeight="1" x14ac:dyDescent="0.3">
      <c r="A34" s="137" t="s">
        <v>1141</v>
      </c>
      <c r="C34" s="138" t="str">
        <f>IF(C30&gt;FedCo!M15,"BREACH","OK")</f>
        <v>BREACH</v>
      </c>
      <c r="D34" s="137" t="s">
        <v>1142</v>
      </c>
      <c r="E34" s="139">
        <f>MAX(0,C30-FedCo!M15)</f>
        <v>1474.6286633333334</v>
      </c>
    </row>
    <row r="35" spans="1:9" ht="19.5" customHeight="1" x14ac:dyDescent="0.3">
      <c r="A35" s="140" t="s">
        <v>1143</v>
      </c>
    </row>
    <row r="36" spans="1:9" ht="15" customHeight="1" x14ac:dyDescent="0.3">
      <c r="A36" s="289" t="s">
        <v>1096</v>
      </c>
      <c r="B36" s="259"/>
    </row>
    <row r="37" spans="1:9" ht="15" customHeight="1" x14ac:dyDescent="0.3">
      <c r="A37" s="118" t="s">
        <v>1097</v>
      </c>
      <c r="C37" s="119">
        <v>400</v>
      </c>
    </row>
    <row r="38" spans="1:9" ht="15" customHeight="1" x14ac:dyDescent="0.3">
      <c r="A38" s="118" t="s">
        <v>1144</v>
      </c>
      <c r="C38" s="120">
        <v>20</v>
      </c>
    </row>
    <row r="39" spans="1:9" ht="15" customHeight="1" x14ac:dyDescent="0.3">
      <c r="A39" s="60" t="s">
        <v>1145</v>
      </c>
      <c r="C39" s="125">
        <f>C37/C38</f>
        <v>20</v>
      </c>
    </row>
    <row r="40" spans="1:9" ht="15" customHeight="1" x14ac:dyDescent="0.3">
      <c r="A40" s="118" t="s">
        <v>1146</v>
      </c>
      <c r="C40" s="122">
        <v>0.02</v>
      </c>
    </row>
    <row r="41" spans="1:9" ht="23.25" customHeight="1" x14ac:dyDescent="0.3">
      <c r="A41" s="118" t="s">
        <v>1147</v>
      </c>
      <c r="B41" s="118" t="s">
        <v>1148</v>
      </c>
      <c r="C41" s="122">
        <v>0.1</v>
      </c>
    </row>
    <row r="42" spans="1:9" ht="15" customHeight="1" x14ac:dyDescent="0.3">
      <c r="A42" s="118" t="s">
        <v>1149</v>
      </c>
      <c r="C42" s="122">
        <v>6.0000000000000001E-3</v>
      </c>
    </row>
    <row r="43" spans="1:9" ht="34.5" customHeight="1" x14ac:dyDescent="0.3">
      <c r="A43" s="118" t="s">
        <v>1150</v>
      </c>
      <c r="B43" s="118" t="s">
        <v>1151</v>
      </c>
      <c r="C43" s="122">
        <v>0.3</v>
      </c>
    </row>
    <row r="44" spans="1:9" ht="15" customHeight="1" x14ac:dyDescent="0.3">
      <c r="A44" s="118" t="s">
        <v>1108</v>
      </c>
      <c r="C44" s="122">
        <v>0.3</v>
      </c>
    </row>
    <row r="45" spans="1:9" ht="15" customHeight="1" x14ac:dyDescent="0.3">
      <c r="A45" s="118" t="s">
        <v>1110</v>
      </c>
      <c r="C45" s="22">
        <v>150</v>
      </c>
    </row>
    <row r="46" spans="1:9" ht="15" customHeight="1" x14ac:dyDescent="0.3">
      <c r="A46" s="118" t="s">
        <v>1112</v>
      </c>
      <c r="C46" s="120">
        <v>8</v>
      </c>
    </row>
    <row r="47" spans="1:9" ht="6" customHeight="1" x14ac:dyDescent="0.3"/>
    <row r="48" spans="1:9" ht="15" customHeight="1" x14ac:dyDescent="0.3">
      <c r="A48" s="289" t="s">
        <v>1152</v>
      </c>
      <c r="B48" s="259"/>
      <c r="C48" s="259"/>
      <c r="D48" s="259"/>
      <c r="E48" s="259"/>
      <c r="F48" s="259"/>
      <c r="G48" s="259"/>
      <c r="H48" s="259"/>
      <c r="I48" s="259"/>
    </row>
    <row r="49" spans="1:9" ht="15" customHeight="1" x14ac:dyDescent="0.3">
      <c r="A49" s="60" t="s">
        <v>1153</v>
      </c>
      <c r="C49" s="141">
        <f>C42-C40</f>
        <v>-1.4E-2</v>
      </c>
      <c r="I49" s="60" t="s">
        <v>1154</v>
      </c>
    </row>
    <row r="50" spans="1:9" ht="57" customHeight="1" x14ac:dyDescent="0.3">
      <c r="A50" s="127" t="s">
        <v>1155</v>
      </c>
      <c r="B50" s="127" t="s">
        <v>1156</v>
      </c>
      <c r="C50" s="142">
        <f>C42-C41</f>
        <v>-9.4E-2</v>
      </c>
      <c r="I50" s="127" t="s">
        <v>1154</v>
      </c>
    </row>
    <row r="51" spans="1:9" ht="23.25" customHeight="1" x14ac:dyDescent="0.3">
      <c r="A51" s="127" t="s">
        <v>1157</v>
      </c>
      <c r="B51" s="127" t="s">
        <v>1158</v>
      </c>
      <c r="C51" s="128">
        <f>C43*C37</f>
        <v>120</v>
      </c>
      <c r="I51" s="127" t="s">
        <v>1099</v>
      </c>
    </row>
    <row r="52" spans="1:9" ht="15" customHeight="1" x14ac:dyDescent="0.3">
      <c r="A52" s="60" t="s">
        <v>1159</v>
      </c>
      <c r="C52" s="125">
        <f>C37</f>
        <v>400</v>
      </c>
      <c r="D52" s="125">
        <f>C52*(1-$C$44)</f>
        <v>280</v>
      </c>
      <c r="E52" s="125">
        <f>D52*(1-$C$44)</f>
        <v>196</v>
      </c>
      <c r="F52" s="125">
        <f>E52*(1-$C$44)</f>
        <v>137.19999999999999</v>
      </c>
      <c r="G52" s="125">
        <f>F52*(1-$C$44)</f>
        <v>96.039999999999992</v>
      </c>
      <c r="I52" s="60" t="s">
        <v>1099</v>
      </c>
    </row>
    <row r="53" spans="1:9" ht="15" customHeight="1" x14ac:dyDescent="0.3">
      <c r="A53" s="60" t="s">
        <v>1160</v>
      </c>
      <c r="C53" s="125">
        <f>C51+C44*C52</f>
        <v>240</v>
      </c>
      <c r="D53" s="125">
        <f>$C$44*D52</f>
        <v>84</v>
      </c>
      <c r="E53" s="125">
        <f>$C$44*E52</f>
        <v>58.8</v>
      </c>
      <c r="F53" s="125">
        <f>$C$44*F52</f>
        <v>41.16</v>
      </c>
      <c r="G53" s="125">
        <f>$C$44*G52</f>
        <v>28.811999999999998</v>
      </c>
      <c r="H53" s="125">
        <f>SUM(C53:G53)</f>
        <v>452.77200000000005</v>
      </c>
      <c r="I53" s="60" t="s">
        <v>1099</v>
      </c>
    </row>
    <row r="54" spans="1:9" ht="15" customHeight="1" x14ac:dyDescent="0.3">
      <c r="A54" s="127" t="s">
        <v>1161</v>
      </c>
      <c r="C54" s="128">
        <f>MAX(0,C53-C45)</f>
        <v>90</v>
      </c>
      <c r="D54" s="128">
        <f>MAX(0,D53-$C$45*0.05)</f>
        <v>76.5</v>
      </c>
      <c r="E54" s="128">
        <f>MAX(0,E53-$C$45*0.05)</f>
        <v>51.3</v>
      </c>
      <c r="F54" s="128">
        <f>MAX(0,F53-$C$45*0.05)</f>
        <v>33.659999999999997</v>
      </c>
      <c r="G54" s="128">
        <f>MAX(0,G53-$C$45*0.05)</f>
        <v>21.311999999999998</v>
      </c>
      <c r="H54" s="128">
        <f>SUM(C54:G54)</f>
        <v>272.77199999999999</v>
      </c>
      <c r="I54" s="127" t="s">
        <v>1099</v>
      </c>
    </row>
    <row r="55" spans="1:9" ht="15" customHeight="1" x14ac:dyDescent="0.3">
      <c r="A55" s="130" t="s">
        <v>1162</v>
      </c>
      <c r="C55" s="131">
        <f>C54/100*C46</f>
        <v>7.2</v>
      </c>
      <c r="D55" s="131">
        <f>D54/100*C46</f>
        <v>6.12</v>
      </c>
      <c r="E55" s="131">
        <f>E54/100*C46</f>
        <v>4.1040000000000001</v>
      </c>
      <c r="F55" s="131">
        <f>F54/100*C46</f>
        <v>2.6927999999999996</v>
      </c>
      <c r="G55" s="131">
        <f>G54/100*C46</f>
        <v>1.7049599999999998</v>
      </c>
      <c r="H55" s="131">
        <f>SUM(C55:G55)</f>
        <v>21.821759999999998</v>
      </c>
      <c r="I55" s="130" t="s">
        <v>1129</v>
      </c>
    </row>
    <row r="56" spans="1:9" ht="6" customHeight="1" x14ac:dyDescent="0.3"/>
    <row r="57" spans="1:9" ht="15" customHeight="1" x14ac:dyDescent="0.3">
      <c r="A57" s="289" t="s">
        <v>1130</v>
      </c>
      <c r="B57" s="259"/>
      <c r="C57" s="259"/>
      <c r="D57" s="259"/>
      <c r="E57" s="259"/>
      <c r="F57" s="259"/>
      <c r="G57" s="259"/>
      <c r="H57" s="259"/>
      <c r="I57" s="259"/>
    </row>
    <row r="58" spans="1:9" ht="15" customHeight="1" x14ac:dyDescent="0.3">
      <c r="A58" s="130" t="s">
        <v>1131</v>
      </c>
      <c r="C58" s="132">
        <f>H53</f>
        <v>452.77200000000005</v>
      </c>
      <c r="I58" s="130" t="s">
        <v>1099</v>
      </c>
    </row>
    <row r="59" spans="1:9" ht="15" customHeight="1" x14ac:dyDescent="0.3">
      <c r="A59" s="130" t="s">
        <v>1132</v>
      </c>
      <c r="C59" s="133">
        <f>H55</f>
        <v>21.821759999999998</v>
      </c>
      <c r="I59" s="130" t="s">
        <v>1129</v>
      </c>
    </row>
    <row r="60" spans="1:9" ht="34.5" customHeight="1" x14ac:dyDescent="0.3">
      <c r="A60" s="130" t="s">
        <v>1163</v>
      </c>
      <c r="B60" s="143" t="s">
        <v>1164</v>
      </c>
      <c r="C60" s="132">
        <f>H53*0.88</f>
        <v>398.43936000000002</v>
      </c>
      <c r="I60" s="130" t="s">
        <v>1099</v>
      </c>
    </row>
    <row r="61" spans="1:9" ht="15" customHeight="1" x14ac:dyDescent="0.3">
      <c r="A61" s="130" t="s">
        <v>1165</v>
      </c>
      <c r="C61" s="136">
        <f>MEASURES!K10</f>
        <v>0</v>
      </c>
    </row>
    <row r="62" spans="1:9" ht="15" customHeight="1" x14ac:dyDescent="0.3">
      <c r="A62" s="130" t="s">
        <v>1166</v>
      </c>
      <c r="C62" s="132">
        <f>(HedgeCo!M14+C60)/(FedCo!M15+HedgeCo!M14)</f>
        <v>1.1090434369812503</v>
      </c>
    </row>
    <row r="63" spans="1:9" ht="15" customHeight="1" x14ac:dyDescent="0.3">
      <c r="A63" s="130" t="s">
        <v>1140</v>
      </c>
      <c r="C63" s="132">
        <f>FedCo!M15-C60</f>
        <v>-271.60277333333335</v>
      </c>
    </row>
    <row r="64" spans="1:9" ht="12" customHeight="1" x14ac:dyDescent="0.3">
      <c r="A64" s="137" t="s">
        <v>1167</v>
      </c>
      <c r="C64" s="138" t="str">
        <f>IF(C60&gt;FedCo!M15,"BREACH","OK")</f>
        <v>BREACH</v>
      </c>
      <c r="E64" s="139">
        <f>MAX(0,C60-FedCo!M15)</f>
        <v>271.60277333333335</v>
      </c>
    </row>
    <row r="65" spans="1:9" ht="19.5" customHeight="1" x14ac:dyDescent="0.3">
      <c r="A65" s="144" t="s">
        <v>1168</v>
      </c>
    </row>
    <row r="66" spans="1:9" ht="15" customHeight="1" x14ac:dyDescent="0.3">
      <c r="C66" s="124" t="s">
        <v>1169</v>
      </c>
      <c r="D66" s="124" t="s">
        <v>1170</v>
      </c>
      <c r="E66" s="124" t="s">
        <v>1171</v>
      </c>
      <c r="F66" s="124" t="s">
        <v>1172</v>
      </c>
      <c r="G66" s="124" t="s">
        <v>1173</v>
      </c>
      <c r="H66" s="124" t="s">
        <v>1093</v>
      </c>
      <c r="I66" s="124" t="s">
        <v>1094</v>
      </c>
    </row>
    <row r="67" spans="1:9" ht="15" customHeight="1" x14ac:dyDescent="0.3">
      <c r="A67" s="287" t="s">
        <v>1096</v>
      </c>
      <c r="B67" s="259"/>
    </row>
    <row r="68" spans="1:9" ht="23.25" customHeight="1" x14ac:dyDescent="0.3">
      <c r="A68" s="118" t="s">
        <v>1174</v>
      </c>
      <c r="B68" s="118" t="s">
        <v>1175</v>
      </c>
      <c r="C68" s="119">
        <v>35</v>
      </c>
    </row>
    <row r="69" spans="1:9" ht="34.5" customHeight="1" x14ac:dyDescent="0.3">
      <c r="A69" s="118" t="s">
        <v>1176</v>
      </c>
      <c r="B69" s="118" t="s">
        <v>1177</v>
      </c>
      <c r="C69" s="120">
        <v>3</v>
      </c>
      <c r="I69" s="118" t="s">
        <v>1178</v>
      </c>
    </row>
    <row r="70" spans="1:9" ht="23.25" customHeight="1" x14ac:dyDescent="0.3">
      <c r="A70" s="60" t="s">
        <v>1179</v>
      </c>
      <c r="B70" s="60" t="s">
        <v>1180</v>
      </c>
      <c r="C70" s="145">
        <f>CommodityCo!M19</f>
        <v>1.1979018057497421</v>
      </c>
      <c r="I70" s="60" t="s">
        <v>1181</v>
      </c>
    </row>
    <row r="71" spans="1:9" ht="15" customHeight="1" x14ac:dyDescent="0.3">
      <c r="A71" s="60" t="s">
        <v>1182</v>
      </c>
      <c r="C71" s="125">
        <f>CommodityCo!M4+CommodityCo!M5</f>
        <v>46.888014116936517</v>
      </c>
      <c r="I71" s="60" t="s">
        <v>1099</v>
      </c>
    </row>
    <row r="72" spans="1:9" ht="15" customHeight="1" x14ac:dyDescent="0.3">
      <c r="A72" s="60" t="s">
        <v>1183</v>
      </c>
      <c r="B72" s="77" t="s">
        <v>1184</v>
      </c>
      <c r="C72" s="126">
        <f>(CommodityCo!M13*0.04+CommodityCo!M15)/3</f>
        <v>3.8798258685679947</v>
      </c>
      <c r="I72" s="60" t="s">
        <v>1185</v>
      </c>
    </row>
    <row r="73" spans="1:9" ht="15" customHeight="1" x14ac:dyDescent="0.3">
      <c r="A73" s="60" t="s">
        <v>1186</v>
      </c>
      <c r="C73" s="125">
        <f>CommodityCo!M8</f>
        <v>10</v>
      </c>
      <c r="I73" s="60" t="s">
        <v>1099</v>
      </c>
    </row>
    <row r="74" spans="1:9" ht="15" customHeight="1" x14ac:dyDescent="0.3">
      <c r="A74" s="118" t="s">
        <v>1187</v>
      </c>
      <c r="C74" s="122">
        <v>0.6</v>
      </c>
    </row>
    <row r="75" spans="1:9" ht="45.75" customHeight="1" x14ac:dyDescent="0.3">
      <c r="A75" s="118" t="s">
        <v>1188</v>
      </c>
      <c r="B75" s="118" t="s">
        <v>1189</v>
      </c>
      <c r="C75" s="122">
        <v>0.8</v>
      </c>
    </row>
    <row r="76" spans="1:9" ht="15" customHeight="1" x14ac:dyDescent="0.3">
      <c r="A76" s="60" t="s">
        <v>1190</v>
      </c>
      <c r="C76" s="125">
        <f>HedgeCo!M14</f>
        <v>2363.9393908003181</v>
      </c>
      <c r="I76" s="60" t="s">
        <v>1099</v>
      </c>
    </row>
    <row r="77" spans="1:9" ht="15" customHeight="1" x14ac:dyDescent="0.3">
      <c r="A77" s="60" t="s">
        <v>1191</v>
      </c>
      <c r="C77" s="125">
        <f>HedgeCo!M14/HedgeCo!M10*ASSUMPTIONS!C43</f>
        <v>23.117349962792233</v>
      </c>
      <c r="I77" s="60" t="s">
        <v>1102</v>
      </c>
    </row>
    <row r="78" spans="1:9" ht="15" customHeight="1" x14ac:dyDescent="0.3">
      <c r="A78" s="118" t="s">
        <v>1192</v>
      </c>
      <c r="C78" s="122">
        <v>0.4</v>
      </c>
    </row>
    <row r="79" spans="1:9" ht="15" customHeight="1" x14ac:dyDescent="0.3">
      <c r="A79" s="118" t="s">
        <v>1193</v>
      </c>
      <c r="C79" s="22">
        <v>300</v>
      </c>
    </row>
    <row r="80" spans="1:9" ht="15" customHeight="1" x14ac:dyDescent="0.3">
      <c r="A80" s="118" t="s">
        <v>1112</v>
      </c>
      <c r="C80" s="120">
        <v>8</v>
      </c>
    </row>
    <row r="81" spans="1:9" ht="6" customHeight="1" x14ac:dyDescent="0.3"/>
    <row r="82" spans="1:9" ht="15" customHeight="1" x14ac:dyDescent="0.3">
      <c r="A82" s="287" t="s">
        <v>1152</v>
      </c>
      <c r="B82" s="259"/>
      <c r="C82" s="259"/>
      <c r="D82" s="259"/>
      <c r="E82" s="259"/>
      <c r="F82" s="259"/>
      <c r="G82" s="259"/>
      <c r="H82" s="259"/>
      <c r="I82" s="259"/>
    </row>
    <row r="83" spans="1:9" ht="23.25" customHeight="1" x14ac:dyDescent="0.3">
      <c r="A83" s="60" t="s">
        <v>1194</v>
      </c>
      <c r="B83" s="60" t="s">
        <v>1195</v>
      </c>
      <c r="C83" s="145">
        <f>IF(C70=0,"-",(C71-C72*1)/C71*C70)</f>
        <v>1.0987794500372325</v>
      </c>
      <c r="D83" s="145">
        <f>IF(C70=0,"-",(C71-C72*2)/C71*C70)</f>
        <v>0.99965709432472249</v>
      </c>
      <c r="E83" s="145">
        <f>IF(C70=0,"-",(C71-C72*3)/C71*C70)</f>
        <v>0.90053473861221267</v>
      </c>
      <c r="F83" s="145">
        <f>IF(C70=0,"-",(C71-C72*4)/C71*C70)</f>
        <v>0.80141238289970285</v>
      </c>
      <c r="G83" s="145">
        <f>IF(C70=0,"-",(C71-C72*5)/C71*C70)</f>
        <v>0.70229002718719302</v>
      </c>
      <c r="I83" s="60" t="s">
        <v>1181</v>
      </c>
    </row>
    <row r="84" spans="1:9" ht="23.25" customHeight="1" x14ac:dyDescent="0.3">
      <c r="A84" s="127" t="s">
        <v>1196</v>
      </c>
      <c r="C84" s="146" t="str">
        <f>IF(C83&lt;1,"BREACH","OK")</f>
        <v>OK</v>
      </c>
      <c r="D84" s="146" t="str">
        <f>IF(D83&lt;1,"BREACH","OK")</f>
        <v>BREACH</v>
      </c>
      <c r="E84" s="146" t="str">
        <f>IF(E83&lt;1,"BREACH","OK")</f>
        <v>BREACH</v>
      </c>
      <c r="F84" s="146" t="str">
        <f>IF(F83&lt;1,"BREACH","OK")</f>
        <v>BREACH</v>
      </c>
      <c r="G84" s="146" t="str">
        <f>IF(G83&lt;1,"BREACH","OK")</f>
        <v>BREACH</v>
      </c>
    </row>
    <row r="85" spans="1:9" ht="34.5" customHeight="1" x14ac:dyDescent="0.3">
      <c r="A85" s="60" t="s">
        <v>1197</v>
      </c>
      <c r="B85" s="60" t="s">
        <v>1198</v>
      </c>
      <c r="C85" s="125">
        <f>0</f>
        <v>0</v>
      </c>
      <c r="D85" s="125">
        <f>C73*C74</f>
        <v>6</v>
      </c>
      <c r="E85" s="125">
        <f>0</f>
        <v>0</v>
      </c>
      <c r="F85" s="125">
        <f>0</f>
        <v>0</v>
      </c>
      <c r="G85" s="125">
        <f>0</f>
        <v>0</v>
      </c>
      <c r="H85" s="125">
        <f>D85</f>
        <v>6</v>
      </c>
      <c r="I85" s="60" t="s">
        <v>1099</v>
      </c>
    </row>
    <row r="86" spans="1:9" ht="45.75" customHeight="1" x14ac:dyDescent="0.3">
      <c r="A86" s="127" t="s">
        <v>1199</v>
      </c>
      <c r="B86" s="127" t="s">
        <v>1200</v>
      </c>
      <c r="C86" s="125">
        <f>0</f>
        <v>0</v>
      </c>
      <c r="D86" s="147">
        <f>D85*C75</f>
        <v>4.8000000000000007</v>
      </c>
      <c r="E86" s="125">
        <f>0</f>
        <v>0</v>
      </c>
      <c r="F86" s="125">
        <f>0</f>
        <v>0</v>
      </c>
      <c r="G86" s="125">
        <f>0</f>
        <v>0</v>
      </c>
      <c r="H86" s="147">
        <f>D86</f>
        <v>4.8000000000000007</v>
      </c>
      <c r="I86" s="127" t="s">
        <v>1099</v>
      </c>
    </row>
    <row r="87" spans="1:9" ht="34.5" customHeight="1" x14ac:dyDescent="0.3">
      <c r="A87" s="127" t="s">
        <v>1201</v>
      </c>
      <c r="B87" s="127" t="s">
        <v>1202</v>
      </c>
      <c r="C87" s="125">
        <f>0</f>
        <v>0</v>
      </c>
      <c r="D87" s="125">
        <f>0</f>
        <v>0</v>
      </c>
      <c r="E87" s="128">
        <f>CommodityCo!M4</f>
        <v>33.366860897494938</v>
      </c>
      <c r="F87" s="125">
        <f>0</f>
        <v>0</v>
      </c>
      <c r="G87" s="125">
        <f>0</f>
        <v>0</v>
      </c>
      <c r="H87" s="128">
        <f>E87</f>
        <v>33.366860897494938</v>
      </c>
      <c r="I87" s="127" t="s">
        <v>1099</v>
      </c>
    </row>
    <row r="88" spans="1:9" ht="57" customHeight="1" x14ac:dyDescent="0.3">
      <c r="A88" s="127" t="s">
        <v>1203</v>
      </c>
      <c r="B88" s="127" t="s">
        <v>1204</v>
      </c>
      <c r="C88" s="125">
        <f>0</f>
        <v>0</v>
      </c>
      <c r="D88" s="125">
        <f>0</f>
        <v>0</v>
      </c>
      <c r="E88" s="128">
        <f>CommodityCo!M5*0.5</f>
        <v>6.7605766097207889</v>
      </c>
      <c r="F88" s="125">
        <f>0</f>
        <v>0</v>
      </c>
      <c r="G88" s="125">
        <f>0</f>
        <v>0</v>
      </c>
      <c r="H88" s="128">
        <f>E88</f>
        <v>6.7605766097207889</v>
      </c>
      <c r="I88" s="127" t="s">
        <v>1099</v>
      </c>
    </row>
    <row r="89" spans="1:9" ht="45.75" customHeight="1" x14ac:dyDescent="0.3">
      <c r="A89" s="130" t="s">
        <v>1205</v>
      </c>
      <c r="B89" s="130" t="s">
        <v>1206</v>
      </c>
      <c r="C89" s="125">
        <f>0</f>
        <v>0</v>
      </c>
      <c r="D89" s="125">
        <f>0</f>
        <v>0</v>
      </c>
      <c r="E89" s="128">
        <f>E87+E88+$C$78*$C$76</f>
        <v>985.70319382734306</v>
      </c>
      <c r="F89" s="128">
        <f>$C$78*$C$76*(1-$C$78)</f>
        <v>567.34545379207634</v>
      </c>
      <c r="G89" s="128">
        <f>$C$78*$C$76*(1-$C$78)^2</f>
        <v>340.40727227524582</v>
      </c>
      <c r="H89" s="128">
        <f>SUM(C89:G89)</f>
        <v>1893.4559198946652</v>
      </c>
      <c r="I89" s="130" t="s">
        <v>1099</v>
      </c>
    </row>
    <row r="90" spans="1:9" ht="15" customHeight="1" x14ac:dyDescent="0.3">
      <c r="A90" s="127" t="s">
        <v>1207</v>
      </c>
      <c r="C90" s="128">
        <f>MAX(0,C89-$C$79)</f>
        <v>0</v>
      </c>
      <c r="D90" s="128">
        <f>MAX(0,D89-$C$79)</f>
        <v>0</v>
      </c>
      <c r="E90" s="128">
        <f>MAX(0,E89-$C$79)</f>
        <v>685.70319382734306</v>
      </c>
      <c r="F90" s="128">
        <f>MAX(0,F89-$C$79)</f>
        <v>267.34545379207634</v>
      </c>
      <c r="G90" s="128">
        <f>MAX(0,G89-$C$79)</f>
        <v>40.407272275245816</v>
      </c>
      <c r="H90" s="128">
        <f>SUM(C90:G90)</f>
        <v>993.45591989466516</v>
      </c>
      <c r="I90" s="127" t="s">
        <v>1099</v>
      </c>
    </row>
    <row r="91" spans="1:9" ht="15" customHeight="1" x14ac:dyDescent="0.3">
      <c r="A91" s="130" t="s">
        <v>1208</v>
      </c>
      <c r="C91" s="131">
        <f>C90/100*$C$80</f>
        <v>0</v>
      </c>
      <c r="D91" s="131">
        <f>D90/100*$C$80</f>
        <v>0</v>
      </c>
      <c r="E91" s="131">
        <f>E90/100*$C$80</f>
        <v>54.856255506187445</v>
      </c>
      <c r="F91" s="131">
        <f>F90/100*$C$80</f>
        <v>21.387636303366108</v>
      </c>
      <c r="G91" s="131">
        <f>G90/100*$C$80</f>
        <v>3.2325817820196652</v>
      </c>
      <c r="H91" s="131">
        <f>SUM(C91:G91)</f>
        <v>79.476473591573225</v>
      </c>
      <c r="I91" s="130" t="s">
        <v>1129</v>
      </c>
    </row>
    <row r="92" spans="1:9" ht="6" customHeight="1" x14ac:dyDescent="0.3"/>
    <row r="93" spans="1:9" ht="15" customHeight="1" x14ac:dyDescent="0.3">
      <c r="A93" s="287" t="s">
        <v>1209</v>
      </c>
      <c r="B93" s="259"/>
      <c r="C93" s="259"/>
      <c r="D93" s="259"/>
      <c r="E93" s="259"/>
      <c r="F93" s="259"/>
      <c r="G93" s="259"/>
      <c r="H93" s="259"/>
      <c r="I93" s="259"/>
    </row>
    <row r="94" spans="1:9" ht="15" customHeight="1" x14ac:dyDescent="0.3">
      <c r="A94" s="130" t="s">
        <v>1131</v>
      </c>
      <c r="C94" s="132">
        <f>H89</f>
        <v>1893.4559198946652</v>
      </c>
      <c r="I94" s="130" t="s">
        <v>1099</v>
      </c>
    </row>
    <row r="95" spans="1:9" ht="15" customHeight="1" x14ac:dyDescent="0.3">
      <c r="A95" s="130" t="s">
        <v>1132</v>
      </c>
      <c r="C95" s="133">
        <f>H91</f>
        <v>79.476473591573225</v>
      </c>
      <c r="I95" s="130" t="s">
        <v>1129</v>
      </c>
    </row>
    <row r="96" spans="1:9" ht="15" customHeight="1" x14ac:dyDescent="0.3">
      <c r="A96" s="130" t="s">
        <v>1210</v>
      </c>
      <c r="C96" s="134">
        <f>1</f>
        <v>1</v>
      </c>
      <c r="I96" s="130" t="s">
        <v>1178</v>
      </c>
    </row>
    <row r="97" spans="1:9" ht="15" customHeight="1" x14ac:dyDescent="0.3">
      <c r="A97" s="130" t="s">
        <v>1211</v>
      </c>
      <c r="C97" s="132">
        <f>H90+H89*0.6</f>
        <v>2129.5294718314644</v>
      </c>
      <c r="I97" s="130" t="s">
        <v>1099</v>
      </c>
    </row>
    <row r="98" spans="1:9" ht="15" customHeight="1" x14ac:dyDescent="0.3">
      <c r="A98" s="130" t="s">
        <v>1165</v>
      </c>
      <c r="C98" s="136">
        <f>MEASURES!M10</f>
        <v>0</v>
      </c>
    </row>
    <row r="99" spans="1:9" ht="15" customHeight="1" x14ac:dyDescent="0.3">
      <c r="A99" s="130" t="s">
        <v>1166</v>
      </c>
      <c r="C99" s="132">
        <f>(HedgeCo!M14+C97)/(FedCo!M15+HedgeCo!M14)</f>
        <v>1.8040437611741591</v>
      </c>
    </row>
    <row r="100" spans="1:9" ht="15" customHeight="1" x14ac:dyDescent="0.3">
      <c r="A100" s="130" t="s">
        <v>1140</v>
      </c>
      <c r="C100" s="132">
        <f>FedCo!M15-C97</f>
        <v>-2002.6928851647976</v>
      </c>
    </row>
    <row r="101" spans="1:9" ht="12" customHeight="1" x14ac:dyDescent="0.3">
      <c r="A101" s="137" t="s">
        <v>1167</v>
      </c>
      <c r="C101" s="138" t="str">
        <f>IF(C97&gt;FedCo!M15,"BREACH","OK")</f>
        <v>BREACH</v>
      </c>
      <c r="E101" s="139">
        <f>MAX(0,C97-FedCo!M15)</f>
        <v>2002.6928851647976</v>
      </c>
    </row>
    <row r="102" spans="1:9" ht="19.5" customHeight="1" x14ac:dyDescent="0.3">
      <c r="A102" s="148" t="s">
        <v>1212</v>
      </c>
      <c r="B102" s="149" t="s">
        <v>1213</v>
      </c>
    </row>
    <row r="103" spans="1:9" ht="34.5" customHeight="1" x14ac:dyDescent="0.3">
      <c r="A103" s="124" t="s">
        <v>1214</v>
      </c>
      <c r="B103" s="124" t="s">
        <v>1215</v>
      </c>
      <c r="C103" s="124" t="s">
        <v>1216</v>
      </c>
      <c r="D103" s="124" t="s">
        <v>1217</v>
      </c>
      <c r="E103" s="150" t="s">
        <v>1218</v>
      </c>
      <c r="F103" s="150" t="s">
        <v>1219</v>
      </c>
      <c r="G103" s="124" t="s">
        <v>1220</v>
      </c>
      <c r="H103" s="124" t="s">
        <v>1221</v>
      </c>
      <c r="I103" s="124" t="s">
        <v>1222</v>
      </c>
    </row>
    <row r="104" spans="1:9" ht="15" customHeight="1" x14ac:dyDescent="0.3">
      <c r="A104" s="151" t="s">
        <v>1223</v>
      </c>
      <c r="B104" s="152">
        <f>C30</f>
        <v>1601.46525</v>
      </c>
      <c r="C104" s="153">
        <f>MEASURES!K12</f>
        <v>0.90130780623424045</v>
      </c>
      <c r="D104" s="153">
        <f>(HedgeCo!M14+B104)/(FedCo!M15+HedgeCo!M14)</f>
        <v>1.5920358461273456</v>
      </c>
      <c r="E104" s="152">
        <f>FedCo!M15</f>
        <v>126.83658666666668</v>
      </c>
      <c r="F104" s="152">
        <f>E104-B104</f>
        <v>-1474.6286633333334</v>
      </c>
      <c r="G104" s="152">
        <f>B104*0.6</f>
        <v>960.87914999999998</v>
      </c>
      <c r="H104" s="154">
        <f>18</f>
        <v>18</v>
      </c>
      <c r="I104" s="153">
        <f>D104-(G104/(FedCo!M15+HedgeCo!M14))</f>
        <v>1.2062608271402211</v>
      </c>
    </row>
    <row r="105" spans="1:9" ht="15" customHeight="1" x14ac:dyDescent="0.3">
      <c r="A105" s="151" t="s">
        <v>1224</v>
      </c>
      <c r="B105" s="152">
        <f>C60</f>
        <v>398.43936000000002</v>
      </c>
      <c r="C105" s="153">
        <f>I104</f>
        <v>1.2062608271402211</v>
      </c>
      <c r="D105" s="153">
        <f>C105+(B105/(FedCo!M15+HedgeCo!M14))</f>
        <v>1.3662267829726666</v>
      </c>
      <c r="E105" s="152">
        <f>F104+G104</f>
        <v>-513.74951333333343</v>
      </c>
      <c r="F105" s="152">
        <f>E105-B105</f>
        <v>-912.1888733333335</v>
      </c>
      <c r="G105" s="152">
        <f>B105*0.6</f>
        <v>239.063616</v>
      </c>
      <c r="H105" s="154">
        <f>12</f>
        <v>12</v>
      </c>
      <c r="I105" s="153">
        <f>D105-(G105/(FedCo!M15+HedgeCo!M14))</f>
        <v>1.2702472094731994</v>
      </c>
    </row>
    <row r="106" spans="1:9" ht="15" customHeight="1" x14ac:dyDescent="0.3">
      <c r="A106" s="151" t="s">
        <v>1225</v>
      </c>
      <c r="B106" s="152">
        <f>C97</f>
        <v>2129.5294718314644</v>
      </c>
      <c r="C106" s="153">
        <f>I105</f>
        <v>1.2702472094731994</v>
      </c>
      <c r="D106" s="153">
        <f>C106+(B106/(FedCo!M15+HedgeCo!M14))</f>
        <v>2.1252134894985542</v>
      </c>
      <c r="E106" s="152">
        <f>F105+G105</f>
        <v>-673.12525733333348</v>
      </c>
      <c r="F106" s="152">
        <f>E106-B106</f>
        <v>-2802.654729164798</v>
      </c>
      <c r="G106" s="152">
        <f>B106*0.5</f>
        <v>1064.7647359157322</v>
      </c>
      <c r="H106" s="154">
        <f>24</f>
        <v>24</v>
      </c>
      <c r="I106" s="153">
        <f>D106-(G106/(FedCo!M15+HedgeCo!M14))</f>
        <v>1.6977303494858769</v>
      </c>
    </row>
    <row r="107" spans="1:9" ht="39.75" customHeight="1" x14ac:dyDescent="0.3">
      <c r="A107" s="155" t="s">
        <v>1226</v>
      </c>
    </row>
    <row r="108" spans="1:9" ht="12" customHeight="1" x14ac:dyDescent="0.3"/>
    <row r="109" spans="1:9" ht="19.5" customHeight="1" x14ac:dyDescent="0.3">
      <c r="A109" s="294" t="s">
        <v>1227</v>
      </c>
      <c r="B109" s="259"/>
      <c r="C109" s="259"/>
      <c r="D109" s="259"/>
      <c r="E109" s="259"/>
      <c r="F109" s="259"/>
      <c r="G109" s="259"/>
      <c r="H109" s="259"/>
      <c r="I109" s="259"/>
    </row>
    <row r="110" spans="1:9" ht="30" customHeight="1" x14ac:dyDescent="0.3">
      <c r="A110" s="156" t="s">
        <v>1228</v>
      </c>
    </row>
    <row r="111" spans="1:9" ht="15" customHeight="1" x14ac:dyDescent="0.3">
      <c r="A111" s="124" t="s">
        <v>1229</v>
      </c>
      <c r="B111" s="124" t="s">
        <v>432</v>
      </c>
      <c r="C111" s="157" t="s">
        <v>108</v>
      </c>
      <c r="D111" s="157" t="s">
        <v>110</v>
      </c>
      <c r="E111" s="157" t="s">
        <v>112</v>
      </c>
      <c r="F111" s="157" t="s">
        <v>114</v>
      </c>
      <c r="G111" s="157" t="s">
        <v>116</v>
      </c>
      <c r="H111" s="157" t="s">
        <v>1230</v>
      </c>
      <c r="I111" s="157" t="s">
        <v>1094</v>
      </c>
    </row>
    <row r="112" spans="1:9" ht="15" customHeight="1" x14ac:dyDescent="0.3">
      <c r="A112" s="118" t="s">
        <v>1231</v>
      </c>
      <c r="B112" s="118" t="s">
        <v>1232</v>
      </c>
      <c r="C112" s="119">
        <f>JapanCo!C4</f>
        <v>650</v>
      </c>
      <c r="D112" s="119">
        <f>JapanCo!E4</f>
        <v>652.4</v>
      </c>
      <c r="E112" s="119">
        <f>JapanCo!G4</f>
        <v>655.99999999999989</v>
      </c>
      <c r="F112" s="119">
        <f>JapanCo!I4</f>
        <v>660.46999999999991</v>
      </c>
      <c r="G112" s="119">
        <f>JapanCo!K4</f>
        <v>664.67</v>
      </c>
      <c r="I112" s="118" t="s">
        <v>1099</v>
      </c>
    </row>
    <row r="113" spans="1:9" ht="15" customHeight="1" x14ac:dyDescent="0.3">
      <c r="A113" s="118" t="s">
        <v>1233</v>
      </c>
      <c r="C113" s="120">
        <v>150</v>
      </c>
      <c r="D113" s="120">
        <v>150</v>
      </c>
      <c r="E113" s="120">
        <v>150</v>
      </c>
      <c r="F113" s="120">
        <v>150</v>
      </c>
      <c r="G113" s="120">
        <v>150</v>
      </c>
      <c r="I113" s="118" t="s">
        <v>1234</v>
      </c>
    </row>
    <row r="114" spans="1:9" ht="23.25" customHeight="1" x14ac:dyDescent="0.3">
      <c r="A114" s="118" t="s">
        <v>1235</v>
      </c>
      <c r="B114" s="118" t="s">
        <v>1236</v>
      </c>
      <c r="C114" s="158">
        <v>97500</v>
      </c>
      <c r="D114" s="158">
        <v>97500</v>
      </c>
      <c r="E114" s="158">
        <v>97500</v>
      </c>
      <c r="F114" s="158">
        <v>97500</v>
      </c>
      <c r="G114" s="158">
        <v>97500</v>
      </c>
      <c r="I114" s="118" t="s">
        <v>1237</v>
      </c>
    </row>
    <row r="115" spans="1:9" ht="15" customHeight="1" x14ac:dyDescent="0.3">
      <c r="A115" s="60" t="s">
        <v>1238</v>
      </c>
      <c r="C115" s="159">
        <v>0</v>
      </c>
      <c r="D115" s="159">
        <v>0.05</v>
      </c>
      <c r="E115" s="159">
        <v>0.1</v>
      </c>
      <c r="F115" s="159">
        <v>0.15</v>
      </c>
      <c r="G115" s="159">
        <v>0.2</v>
      </c>
      <c r="I115" s="60" t="s">
        <v>1154</v>
      </c>
    </row>
    <row r="116" spans="1:9" ht="15" customHeight="1" x14ac:dyDescent="0.3">
      <c r="A116" s="60" t="s">
        <v>1239</v>
      </c>
      <c r="C116" s="160">
        <f>C113*(1-C115)</f>
        <v>150</v>
      </c>
      <c r="D116" s="160">
        <f>C113*(1-D115)</f>
        <v>142.5</v>
      </c>
      <c r="E116" s="160">
        <f>C113*(1-E115)</f>
        <v>135</v>
      </c>
      <c r="F116" s="160">
        <f>C113*(1-F115)</f>
        <v>127.5</v>
      </c>
      <c r="G116" s="160">
        <f>C113*(1-G115)</f>
        <v>120</v>
      </c>
      <c r="I116" s="60" t="s">
        <v>1234</v>
      </c>
    </row>
    <row r="117" spans="1:9" ht="15" customHeight="1" x14ac:dyDescent="0.3">
      <c r="A117" s="60" t="s">
        <v>1240</v>
      </c>
      <c r="C117" s="161">
        <f>C112*C116</f>
        <v>97500</v>
      </c>
      <c r="D117" s="161">
        <f>C112*D116</f>
        <v>92625</v>
      </c>
      <c r="E117" s="161">
        <f>C112*E116</f>
        <v>87750</v>
      </c>
      <c r="F117" s="161">
        <f>C112*F116</f>
        <v>82875</v>
      </c>
      <c r="G117" s="161">
        <f>C112*G116</f>
        <v>78000</v>
      </c>
      <c r="I117" s="60" t="s">
        <v>1237</v>
      </c>
    </row>
    <row r="118" spans="1:9" ht="23.25" customHeight="1" x14ac:dyDescent="0.3">
      <c r="A118" s="130" t="s">
        <v>1241</v>
      </c>
      <c r="B118" s="130" t="s">
        <v>1242</v>
      </c>
      <c r="C118" s="162">
        <f>C114-C117</f>
        <v>0</v>
      </c>
      <c r="D118" s="162">
        <f>C114-D117</f>
        <v>4875</v>
      </c>
      <c r="E118" s="162">
        <f>C114-E117</f>
        <v>9750</v>
      </c>
      <c r="F118" s="162">
        <f>C114-F117</f>
        <v>14625</v>
      </c>
      <c r="G118" s="162">
        <f>C114-G117</f>
        <v>19500</v>
      </c>
      <c r="I118" s="130" t="s">
        <v>1237</v>
      </c>
    </row>
    <row r="119" spans="1:9" ht="15" customHeight="1" x14ac:dyDescent="0.3">
      <c r="A119" s="130" t="s">
        <v>1243</v>
      </c>
      <c r="C119" s="136">
        <f>1-(C114/(C112*C113))</f>
        <v>0</v>
      </c>
      <c r="D119" s="136">
        <f>1-(C114/(D112*C113))</f>
        <v>3.6787247087676223E-3</v>
      </c>
      <c r="E119" s="136">
        <f>1-(C114/(E112*C113))</f>
        <v>9.1463414634145312E-3</v>
      </c>
      <c r="F119" s="136">
        <f>1-(C114/(F112*C113))</f>
        <v>1.5852347570669223E-2</v>
      </c>
      <c r="G119" s="136">
        <f>1-(C114/(G112*C113))</f>
        <v>2.2071102953345245E-2</v>
      </c>
      <c r="I119" s="130" t="s">
        <v>1154</v>
      </c>
    </row>
    <row r="120" spans="1:9" ht="51.75" customHeight="1" x14ac:dyDescent="0.3">
      <c r="A120" s="163" t="s">
        <v>1244</v>
      </c>
      <c r="B120" s="164" t="s">
        <v>1245</v>
      </c>
      <c r="C120" s="136">
        <f>1-(C114/(C112*C113))</f>
        <v>0</v>
      </c>
      <c r="D120" s="136">
        <f>1-(C114/(D112*C113))</f>
        <v>3.6787247087676223E-3</v>
      </c>
      <c r="E120" s="136">
        <f>1-(C114/(E112*C113))</f>
        <v>9.1463414634145312E-3</v>
      </c>
      <c r="F120" s="136">
        <f>1-(C114/(F112*C113))</f>
        <v>1.5852347570669223E-2</v>
      </c>
      <c r="G120" s="136">
        <f>1-(C114/(G112*C113))</f>
        <v>2.2071102953345245E-2</v>
      </c>
      <c r="I120" s="130" t="s">
        <v>1154</v>
      </c>
    </row>
    <row r="121" spans="1:9" ht="48" customHeight="1" x14ac:dyDescent="0.3">
      <c r="A121" s="156" t="s">
        <v>1246</v>
      </c>
    </row>
    <row r="124" spans="1:9" x14ac:dyDescent="0.3">
      <c r="A124" s="286" t="s">
        <v>1247</v>
      </c>
      <c r="B124" s="259"/>
      <c r="C124" s="259"/>
      <c r="D124" s="259"/>
      <c r="E124" s="259"/>
      <c r="F124" s="259"/>
      <c r="G124" s="259"/>
      <c r="H124" s="259"/>
      <c r="I124" s="259"/>
    </row>
    <row r="125" spans="1:9" x14ac:dyDescent="0.3">
      <c r="A125" s="165" t="s">
        <v>1248</v>
      </c>
      <c r="B125" s="165" t="s">
        <v>1249</v>
      </c>
      <c r="C125" s="165" t="s">
        <v>1250</v>
      </c>
      <c r="D125" s="165" t="s">
        <v>1251</v>
      </c>
      <c r="E125" s="165" t="s">
        <v>302</v>
      </c>
      <c r="F125" s="165" t="s">
        <v>1252</v>
      </c>
      <c r="G125" s="165" t="s">
        <v>1253</v>
      </c>
      <c r="H125" s="165" t="s">
        <v>1254</v>
      </c>
      <c r="I125" s="165" t="s">
        <v>1255</v>
      </c>
    </row>
    <row r="126" spans="1:9" x14ac:dyDescent="0.3">
      <c r="A126" s="235" t="s">
        <v>1256</v>
      </c>
      <c r="B126" s="168" t="s">
        <v>1257</v>
      </c>
      <c r="C126" s="168" t="s">
        <v>1258</v>
      </c>
      <c r="D126" s="168" t="s">
        <v>1259</v>
      </c>
      <c r="E126" s="168" t="s">
        <v>1260</v>
      </c>
      <c r="F126" s="168">
        <f>FinServCo!M13</f>
        <v>22</v>
      </c>
      <c r="G126" s="168" t="s">
        <v>1261</v>
      </c>
      <c r="H126" s="168" t="s">
        <v>1262</v>
      </c>
      <c r="I126" s="168" t="s">
        <v>1263</v>
      </c>
    </row>
    <row r="127" spans="1:9" x14ac:dyDescent="0.3">
      <c r="A127" s="235" t="s">
        <v>1264</v>
      </c>
      <c r="B127" s="168" t="s">
        <v>1265</v>
      </c>
      <c r="C127" s="168" t="s">
        <v>1266</v>
      </c>
      <c r="D127" s="168" t="s">
        <v>1267</v>
      </c>
      <c r="E127" s="168" t="s">
        <v>1268</v>
      </c>
      <c r="F127" s="168" t="str">
        <f>FinServCo!M22</f>
        <v>-</v>
      </c>
      <c r="G127" s="168" t="s">
        <v>1269</v>
      </c>
      <c r="H127" s="168" t="s">
        <v>1270</v>
      </c>
      <c r="I127" s="168" t="s">
        <v>1263</v>
      </c>
    </row>
    <row r="128" spans="1:9" x14ac:dyDescent="0.3">
      <c r="A128" s="235" t="s">
        <v>1271</v>
      </c>
      <c r="B128" s="168" t="s">
        <v>1272</v>
      </c>
      <c r="C128" s="168" t="s">
        <v>1273</v>
      </c>
      <c r="D128" s="168" t="s">
        <v>1274</v>
      </c>
      <c r="E128" s="168" t="s">
        <v>1275</v>
      </c>
      <c r="F128" s="168">
        <f>FinServCo!M18</f>
        <v>0</v>
      </c>
      <c r="G128" s="168" t="s">
        <v>1276</v>
      </c>
      <c r="H128" s="168" t="s">
        <v>1277</v>
      </c>
      <c r="I128" s="168" t="s">
        <v>1263</v>
      </c>
    </row>
    <row r="129" spans="1:9" x14ac:dyDescent="0.3">
      <c r="A129" s="235" t="s">
        <v>1278</v>
      </c>
      <c r="B129" s="168" t="s">
        <v>1279</v>
      </c>
      <c r="C129" s="168" t="s">
        <v>1280</v>
      </c>
      <c r="D129" s="168" t="s">
        <v>1281</v>
      </c>
      <c r="E129" s="168" t="s">
        <v>1282</v>
      </c>
      <c r="F129" s="168">
        <f>FinServCo!M28</f>
        <v>0</v>
      </c>
      <c r="G129" s="168" t="s">
        <v>1283</v>
      </c>
      <c r="H129" s="168" t="s">
        <v>1284</v>
      </c>
      <c r="I129" s="168" t="s">
        <v>1263</v>
      </c>
    </row>
    <row r="130" spans="1:9" x14ac:dyDescent="0.3">
      <c r="A130" s="235" t="s">
        <v>1285</v>
      </c>
      <c r="B130" s="168" t="s">
        <v>1286</v>
      </c>
      <c r="C130" s="168" t="s">
        <v>1287</v>
      </c>
      <c r="D130" s="168" t="s">
        <v>1288</v>
      </c>
      <c r="E130" s="168" t="s">
        <v>1289</v>
      </c>
      <c r="F130" s="168">
        <f>HedgeCo!M21</f>
        <v>-278.64410454972381</v>
      </c>
      <c r="G130" s="168" t="s">
        <v>1261</v>
      </c>
      <c r="H130" s="168" t="s">
        <v>1290</v>
      </c>
      <c r="I130" s="168" t="s">
        <v>1263</v>
      </c>
    </row>
    <row r="131" spans="1:9" x14ac:dyDescent="0.3">
      <c r="A131" s="235" t="s">
        <v>1291</v>
      </c>
      <c r="B131" s="168" t="s">
        <v>1292</v>
      </c>
      <c r="C131" s="168" t="s">
        <v>1293</v>
      </c>
      <c r="D131" s="168" t="s">
        <v>1294</v>
      </c>
      <c r="E131" s="168" t="s">
        <v>1295</v>
      </c>
      <c r="F131" s="168">
        <f>FinServCo!M30</f>
        <v>-7.8303670419451317</v>
      </c>
      <c r="G131" s="168" t="s">
        <v>1261</v>
      </c>
      <c r="H131" s="168" t="s">
        <v>1296</v>
      </c>
      <c r="I131" s="168" t="s">
        <v>1263</v>
      </c>
    </row>
    <row r="132" spans="1:9" x14ac:dyDescent="0.3">
      <c r="A132" s="235" t="s">
        <v>1297</v>
      </c>
      <c r="B132" s="168" t="s">
        <v>1265</v>
      </c>
      <c r="C132" s="168" t="s">
        <v>1298</v>
      </c>
      <c r="D132" s="168" t="s">
        <v>1299</v>
      </c>
      <c r="E132" s="168" t="s">
        <v>1300</v>
      </c>
      <c r="F132" s="168">
        <f>FinServCo!M31</f>
        <v>-8.9303670419451322</v>
      </c>
      <c r="G132" s="168" t="s">
        <v>1261</v>
      </c>
      <c r="H132" s="168" t="s">
        <v>1301</v>
      </c>
      <c r="I132" s="168" t="s">
        <v>1263</v>
      </c>
    </row>
    <row r="133" spans="1:9" x14ac:dyDescent="0.3">
      <c r="A133" s="235" t="s">
        <v>1302</v>
      </c>
      <c r="B133" s="168" t="s">
        <v>1283</v>
      </c>
      <c r="C133" s="168" t="s">
        <v>1303</v>
      </c>
      <c r="D133" s="168" t="s">
        <v>1304</v>
      </c>
      <c r="E133" s="168" t="s">
        <v>1305</v>
      </c>
      <c r="F133" s="168">
        <f>FedCo!M18</f>
        <v>45</v>
      </c>
      <c r="G133" s="168" t="s">
        <v>1306</v>
      </c>
      <c r="H133" s="168" t="s">
        <v>1307</v>
      </c>
      <c r="I133" s="168" t="s">
        <v>1263</v>
      </c>
    </row>
    <row r="136" spans="1:9" x14ac:dyDescent="0.3">
      <c r="A136" s="293" t="s">
        <v>1308</v>
      </c>
      <c r="B136" s="259"/>
      <c r="C136" s="259"/>
      <c r="D136" s="259"/>
      <c r="E136" s="259"/>
      <c r="F136" s="259"/>
      <c r="G136" s="259"/>
      <c r="H136" s="259"/>
      <c r="I136" s="259"/>
    </row>
    <row r="137" spans="1:9" x14ac:dyDescent="0.3">
      <c r="A137" s="290" t="s">
        <v>1309</v>
      </c>
      <c r="B137" s="259"/>
      <c r="C137" s="259"/>
      <c r="D137" s="259"/>
      <c r="E137" s="259"/>
      <c r="F137" s="259"/>
      <c r="G137" s="259"/>
      <c r="H137" s="259"/>
      <c r="I137" s="259"/>
    </row>
    <row r="138" spans="1:9" x14ac:dyDescent="0.3">
      <c r="A138" s="165" t="s">
        <v>1248</v>
      </c>
      <c r="B138" s="165" t="s">
        <v>1249</v>
      </c>
      <c r="C138" s="165" t="s">
        <v>1310</v>
      </c>
      <c r="D138" s="165" t="s">
        <v>1251</v>
      </c>
      <c r="E138" s="165" t="s">
        <v>302</v>
      </c>
      <c r="F138" s="165" t="s">
        <v>1311</v>
      </c>
      <c r="G138" s="165" t="s">
        <v>1312</v>
      </c>
      <c r="H138" s="165" t="s">
        <v>1313</v>
      </c>
      <c r="I138" s="165" t="s">
        <v>1255</v>
      </c>
    </row>
    <row r="139" spans="1:9" x14ac:dyDescent="0.3">
      <c r="A139" s="235" t="s">
        <v>1314</v>
      </c>
      <c r="B139" s="186" t="s">
        <v>1315</v>
      </c>
      <c r="C139" s="186" t="s">
        <v>1316</v>
      </c>
      <c r="D139" s="168" t="s">
        <v>1317</v>
      </c>
      <c r="E139" s="168" t="s">
        <v>1318</v>
      </c>
      <c r="F139" s="168">
        <f>CommodityCo!M17</f>
        <v>0</v>
      </c>
      <c r="G139" s="168" t="s">
        <v>1319</v>
      </c>
      <c r="H139" s="168" t="s">
        <v>1320</v>
      </c>
      <c r="I139" s="168" t="s">
        <v>1321</v>
      </c>
    </row>
    <row r="140" spans="1:9" x14ac:dyDescent="0.3">
      <c r="A140" s="235" t="s">
        <v>1322</v>
      </c>
      <c r="B140" s="186" t="s">
        <v>1323</v>
      </c>
      <c r="C140" s="186" t="s">
        <v>1324</v>
      </c>
      <c r="D140" s="168" t="s">
        <v>1325</v>
      </c>
      <c r="E140" s="168" t="s">
        <v>1326</v>
      </c>
      <c r="F140" s="168">
        <f>GlobalBankCo!M20</f>
        <v>0.5352478490407151</v>
      </c>
      <c r="G140" s="168" t="s">
        <v>1327</v>
      </c>
      <c r="H140" s="168" t="s">
        <v>1328</v>
      </c>
      <c r="I140" s="168" t="s">
        <v>1321</v>
      </c>
    </row>
    <row r="141" spans="1:9" x14ac:dyDescent="0.3">
      <c r="A141" s="235" t="s">
        <v>1329</v>
      </c>
      <c r="B141" s="186" t="s">
        <v>1257</v>
      </c>
      <c r="C141" s="186" t="s">
        <v>1330</v>
      </c>
      <c r="D141" s="168" t="s">
        <v>1331</v>
      </c>
      <c r="E141" s="168" t="s">
        <v>1332</v>
      </c>
      <c r="F141" s="168" t="str">
        <f>FinServCo!M19</f>
        <v>GATE FAILED — cascade</v>
      </c>
      <c r="G141" s="168" t="s">
        <v>1333</v>
      </c>
      <c r="H141" s="168" t="s">
        <v>1328</v>
      </c>
      <c r="I141" s="168" t="s">
        <v>1334</v>
      </c>
    </row>
    <row r="142" spans="1:9" x14ac:dyDescent="0.3">
      <c r="A142" s="235" t="s">
        <v>1335</v>
      </c>
      <c r="B142" s="186" t="s">
        <v>1336</v>
      </c>
      <c r="C142" s="186" t="s">
        <v>1337</v>
      </c>
      <c r="D142" s="168" t="s">
        <v>1338</v>
      </c>
      <c r="E142" s="168" t="s">
        <v>1339</v>
      </c>
      <c r="F142" s="168">
        <f>CONTAGION!C24</f>
        <v>0</v>
      </c>
      <c r="G142" s="168" t="s">
        <v>1340</v>
      </c>
      <c r="H142" s="168" t="s">
        <v>1341</v>
      </c>
      <c r="I142" s="168" t="s">
        <v>1342</v>
      </c>
    </row>
    <row r="143" spans="1:9" x14ac:dyDescent="0.3">
      <c r="A143" s="235" t="s">
        <v>1343</v>
      </c>
      <c r="B143" s="186" t="s">
        <v>1344</v>
      </c>
      <c r="C143" s="186" t="s">
        <v>1345</v>
      </c>
      <c r="D143" s="168" t="s">
        <v>1346</v>
      </c>
      <c r="E143" s="168" t="s">
        <v>1347</v>
      </c>
      <c r="F143" s="168">
        <f>ManuCo!M18</f>
        <v>0.59</v>
      </c>
      <c r="G143" s="168" t="s">
        <v>1348</v>
      </c>
      <c r="H143" s="168" t="s">
        <v>1349</v>
      </c>
      <c r="I143" s="168" t="s">
        <v>1350</v>
      </c>
    </row>
    <row r="144" spans="1:9" x14ac:dyDescent="0.3">
      <c r="A144" s="235" t="s">
        <v>1351</v>
      </c>
      <c r="B144" s="186" t="s">
        <v>1279</v>
      </c>
      <c r="C144" s="186" t="s">
        <v>1352</v>
      </c>
      <c r="D144" s="168" t="s">
        <v>1353</v>
      </c>
      <c r="E144" s="168" t="s">
        <v>1354</v>
      </c>
      <c r="F144" s="168">
        <f>MEASURES!M39</f>
        <v>0.37963099245952192</v>
      </c>
      <c r="G144" s="168" t="s">
        <v>1355</v>
      </c>
      <c r="H144" s="168" t="s">
        <v>1356</v>
      </c>
      <c r="I144" s="168" t="s">
        <v>1342</v>
      </c>
    </row>
    <row r="145" spans="1:9" x14ac:dyDescent="0.3">
      <c r="A145" s="235" t="s">
        <v>1357</v>
      </c>
      <c r="B145" s="186" t="s">
        <v>1292</v>
      </c>
      <c r="C145" s="186" t="s">
        <v>1358</v>
      </c>
      <c r="D145" s="168" t="s">
        <v>1359</v>
      </c>
      <c r="E145" s="168" t="s">
        <v>1360</v>
      </c>
      <c r="F145" s="168">
        <f>FinServCo!M30</f>
        <v>-7.8303670419451317</v>
      </c>
      <c r="G145" s="168" t="s">
        <v>1361</v>
      </c>
      <c r="H145" s="168" t="s">
        <v>1362</v>
      </c>
      <c r="I145" s="168" t="s">
        <v>1334</v>
      </c>
    </row>
    <row r="146" spans="1:9" x14ac:dyDescent="0.3">
      <c r="A146" s="235" t="s">
        <v>1363</v>
      </c>
      <c r="B146" s="186" t="s">
        <v>1265</v>
      </c>
      <c r="C146" s="186" t="s">
        <v>1364</v>
      </c>
      <c r="D146" s="168" t="s">
        <v>1365</v>
      </c>
      <c r="E146" s="168" t="s">
        <v>1366</v>
      </c>
      <c r="F146" s="168">
        <f>FinServCo!M31</f>
        <v>-8.9303670419451322</v>
      </c>
      <c r="G146" s="168" t="s">
        <v>1367</v>
      </c>
      <c r="H146" s="168" t="s">
        <v>1368</v>
      </c>
      <c r="I146" s="168" t="s">
        <v>1342</v>
      </c>
    </row>
    <row r="147" spans="1:9" x14ac:dyDescent="0.3">
      <c r="A147" s="235" t="s">
        <v>1369</v>
      </c>
      <c r="B147" s="186" t="s">
        <v>1283</v>
      </c>
      <c r="C147" s="186" t="s">
        <v>1370</v>
      </c>
      <c r="D147" s="168" t="s">
        <v>1371</v>
      </c>
      <c r="E147" s="168" t="s">
        <v>1305</v>
      </c>
      <c r="F147" s="168">
        <f>FedCo!M18</f>
        <v>45</v>
      </c>
      <c r="G147" s="168" t="s">
        <v>1372</v>
      </c>
      <c r="H147" s="168" t="s">
        <v>1307</v>
      </c>
      <c r="I147" s="168" t="s">
        <v>1342</v>
      </c>
    </row>
  </sheetData>
  <mergeCells count="15">
    <mergeCell ref="A1:I1"/>
    <mergeCell ref="A36:B36"/>
    <mergeCell ref="A124:I124"/>
    <mergeCell ref="A136:I136"/>
    <mergeCell ref="A109:I109"/>
    <mergeCell ref="A67:B67"/>
    <mergeCell ref="A48:I48"/>
    <mergeCell ref="A26:I26"/>
    <mergeCell ref="A16:I16"/>
    <mergeCell ref="A82:I82"/>
    <mergeCell ref="A6:B6"/>
    <mergeCell ref="A57:I57"/>
    <mergeCell ref="A137:I137"/>
    <mergeCell ref="A5:I5"/>
    <mergeCell ref="A93:I93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21"/>
  <sheetViews>
    <sheetView workbookViewId="0"/>
  </sheetViews>
  <sheetFormatPr defaultRowHeight="14.4" x14ac:dyDescent="0.3"/>
  <cols>
    <col min="1" max="1" width="70" customWidth="1"/>
    <col min="3" max="14" width="9" customWidth="1"/>
  </cols>
  <sheetData>
    <row r="1" spans="1:14" ht="15.6" x14ac:dyDescent="0.3">
      <c r="A1" s="252" t="s">
        <v>1373</v>
      </c>
    </row>
    <row r="2" spans="1:14" x14ac:dyDescent="0.3">
      <c r="A2" s="251" t="s">
        <v>1374</v>
      </c>
    </row>
    <row r="3" spans="1:14" x14ac:dyDescent="0.3">
      <c r="A3" s="251" t="s">
        <v>1375</v>
      </c>
    </row>
    <row r="5" spans="1:14" x14ac:dyDescent="0.3">
      <c r="A5" t="s">
        <v>1376</v>
      </c>
      <c r="C5" s="253" t="s">
        <v>108</v>
      </c>
      <c r="D5" s="253" t="s">
        <v>109</v>
      </c>
      <c r="E5" s="253" t="s">
        <v>110</v>
      </c>
      <c r="F5" s="253" t="s">
        <v>111</v>
      </c>
      <c r="G5" s="253" t="s">
        <v>112</v>
      </c>
      <c r="H5" s="253" t="s">
        <v>113</v>
      </c>
      <c r="I5" s="254" t="s">
        <v>1377</v>
      </c>
      <c r="J5" s="254" t="s">
        <v>1378</v>
      </c>
      <c r="K5" s="254" t="s">
        <v>1379</v>
      </c>
      <c r="L5" s="254" t="s">
        <v>1380</v>
      </c>
      <c r="M5" s="254" t="s">
        <v>1381</v>
      </c>
      <c r="N5" s="254" t="s">
        <v>1382</v>
      </c>
    </row>
    <row r="6" spans="1:14" x14ac:dyDescent="0.3">
      <c r="A6" t="s">
        <v>1383</v>
      </c>
      <c r="C6" t="s">
        <v>1384</v>
      </c>
      <c r="D6" t="s">
        <v>1384</v>
      </c>
      <c r="E6" t="s">
        <v>1384</v>
      </c>
      <c r="F6" t="s">
        <v>1384</v>
      </c>
      <c r="G6" t="s">
        <v>1384</v>
      </c>
      <c r="H6" t="s">
        <v>1384</v>
      </c>
      <c r="I6" t="s">
        <v>1385</v>
      </c>
      <c r="J6" t="s">
        <v>1385</v>
      </c>
      <c r="K6" t="s">
        <v>1385</v>
      </c>
      <c r="L6" t="s">
        <v>1385</v>
      </c>
      <c r="M6" t="s">
        <v>1385</v>
      </c>
      <c r="N6" t="s">
        <v>1385</v>
      </c>
    </row>
    <row r="8" spans="1:14" x14ac:dyDescent="0.3">
      <c r="A8" s="255" t="s">
        <v>1386</v>
      </c>
    </row>
    <row r="9" spans="1:14" x14ac:dyDescent="0.3">
      <c r="A9" t="s">
        <v>702</v>
      </c>
      <c r="C9">
        <v>38</v>
      </c>
      <c r="D9">
        <v>38</v>
      </c>
      <c r="E9">
        <v>38</v>
      </c>
      <c r="F9">
        <v>38</v>
      </c>
      <c r="G9">
        <v>38</v>
      </c>
      <c r="H9">
        <v>38</v>
      </c>
      <c r="I9">
        <v>39.5</v>
      </c>
      <c r="J9">
        <v>41</v>
      </c>
      <c r="K9">
        <v>42.5</v>
      </c>
      <c r="L9">
        <v>44</v>
      </c>
      <c r="M9">
        <v>44</v>
      </c>
      <c r="N9">
        <v>44</v>
      </c>
    </row>
    <row r="10" spans="1:14" x14ac:dyDescent="0.3">
      <c r="A10" t="s">
        <v>1387</v>
      </c>
      <c r="C10">
        <v>650</v>
      </c>
      <c r="D10">
        <v>650</v>
      </c>
      <c r="E10">
        <v>657</v>
      </c>
      <c r="F10">
        <v>664</v>
      </c>
      <c r="G10">
        <v>671</v>
      </c>
      <c r="H10">
        <v>678</v>
      </c>
      <c r="I10">
        <v>610</v>
      </c>
      <c r="J10">
        <v>542</v>
      </c>
      <c r="K10">
        <v>475</v>
      </c>
      <c r="L10">
        <v>430</v>
      </c>
      <c r="M10">
        <v>410</v>
      </c>
      <c r="N10">
        <v>400</v>
      </c>
    </row>
    <row r="11" spans="1:14" x14ac:dyDescent="0.3">
      <c r="A11" t="s">
        <v>1388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-68</v>
      </c>
      <c r="J11">
        <v>-136</v>
      </c>
      <c r="K11">
        <v>-203</v>
      </c>
      <c r="L11">
        <v>-248</v>
      </c>
      <c r="M11">
        <v>-268</v>
      </c>
      <c r="N11">
        <v>-278</v>
      </c>
    </row>
    <row r="12" spans="1:14" x14ac:dyDescent="0.3">
      <c r="A12" t="s">
        <v>1389</v>
      </c>
      <c r="C12">
        <v>72</v>
      </c>
      <c r="D12">
        <v>73</v>
      </c>
      <c r="E12">
        <v>74</v>
      </c>
      <c r="F12">
        <v>75</v>
      </c>
      <c r="G12">
        <v>77</v>
      </c>
      <c r="H12">
        <v>79</v>
      </c>
      <c r="I12">
        <v>74</v>
      </c>
      <c r="J12">
        <v>69</v>
      </c>
      <c r="K12">
        <v>63</v>
      </c>
      <c r="L12">
        <v>57</v>
      </c>
      <c r="M12">
        <v>52</v>
      </c>
      <c r="N12">
        <v>48</v>
      </c>
    </row>
    <row r="13" spans="1:14" x14ac:dyDescent="0.3">
      <c r="A13" t="s">
        <v>1390</v>
      </c>
      <c r="C13">
        <v>200</v>
      </c>
      <c r="D13">
        <v>201</v>
      </c>
      <c r="E13">
        <v>201</v>
      </c>
      <c r="F13">
        <v>202</v>
      </c>
      <c r="G13">
        <v>202</v>
      </c>
      <c r="H13">
        <v>202</v>
      </c>
      <c r="I13">
        <v>200</v>
      </c>
      <c r="J13">
        <v>197</v>
      </c>
      <c r="K13">
        <v>193</v>
      </c>
      <c r="L13">
        <v>188</v>
      </c>
      <c r="M13">
        <v>183</v>
      </c>
      <c r="N13">
        <v>178</v>
      </c>
    </row>
    <row r="14" spans="1:14" x14ac:dyDescent="0.3">
      <c r="A14" t="s">
        <v>1391</v>
      </c>
      <c r="C14" t="s">
        <v>1392</v>
      </c>
      <c r="D14" t="s">
        <v>1393</v>
      </c>
      <c r="E14" t="s">
        <v>1393</v>
      </c>
      <c r="F14" t="s">
        <v>1394</v>
      </c>
      <c r="G14" t="s">
        <v>1395</v>
      </c>
      <c r="H14" t="s">
        <v>1395</v>
      </c>
      <c r="I14" t="s">
        <v>1396</v>
      </c>
      <c r="J14" t="s">
        <v>1397</v>
      </c>
      <c r="K14" t="s">
        <v>1398</v>
      </c>
      <c r="L14" t="s">
        <v>1399</v>
      </c>
      <c r="M14" t="s">
        <v>1400</v>
      </c>
      <c r="N14" t="s">
        <v>1401</v>
      </c>
    </row>
    <row r="15" spans="1:14" x14ac:dyDescent="0.3">
      <c r="A15" t="s">
        <v>1402</v>
      </c>
      <c r="I15" t="s">
        <v>1403</v>
      </c>
      <c r="J15" t="s">
        <v>1404</v>
      </c>
      <c r="K15" t="s">
        <v>1405</v>
      </c>
      <c r="L15" t="s">
        <v>1406</v>
      </c>
      <c r="M15" t="s">
        <v>1405</v>
      </c>
      <c r="N15" t="s">
        <v>1407</v>
      </c>
    </row>
    <row r="17" spans="1:14" x14ac:dyDescent="0.3">
      <c r="A17" s="255" t="s">
        <v>1408</v>
      </c>
    </row>
    <row r="18" spans="1:14" x14ac:dyDescent="0.3">
      <c r="A18" t="s">
        <v>1409</v>
      </c>
      <c r="C18">
        <v>80</v>
      </c>
      <c r="D18">
        <v>88</v>
      </c>
      <c r="E18">
        <v>97</v>
      </c>
      <c r="F18">
        <v>106</v>
      </c>
      <c r="G18">
        <v>117</v>
      </c>
      <c r="H18">
        <v>129</v>
      </c>
      <c r="I18">
        <v>112</v>
      </c>
      <c r="J18">
        <v>95</v>
      </c>
      <c r="K18">
        <v>78</v>
      </c>
      <c r="L18">
        <v>65</v>
      </c>
      <c r="M18">
        <v>58</v>
      </c>
      <c r="N18">
        <v>55</v>
      </c>
    </row>
    <row r="19" spans="1:14" x14ac:dyDescent="0.3">
      <c r="A19" t="s">
        <v>1410</v>
      </c>
      <c r="C19">
        <v>80</v>
      </c>
      <c r="D19">
        <v>88</v>
      </c>
      <c r="E19">
        <v>97</v>
      </c>
      <c r="F19">
        <v>106</v>
      </c>
      <c r="G19">
        <v>117</v>
      </c>
      <c r="H19">
        <v>129</v>
      </c>
      <c r="I19">
        <v>112</v>
      </c>
      <c r="J19">
        <v>95</v>
      </c>
      <c r="K19">
        <v>78</v>
      </c>
      <c r="L19">
        <v>65</v>
      </c>
      <c r="M19">
        <v>58</v>
      </c>
      <c r="N19">
        <v>55</v>
      </c>
    </row>
    <row r="20" spans="1:14" x14ac:dyDescent="0.3">
      <c r="A20" t="s">
        <v>1411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-17</v>
      </c>
      <c r="J20">
        <v>-34</v>
      </c>
      <c r="K20">
        <v>-51</v>
      </c>
      <c r="L20">
        <v>-64</v>
      </c>
      <c r="M20">
        <v>-71</v>
      </c>
      <c r="N20">
        <v>-74</v>
      </c>
    </row>
    <row r="21" spans="1:14" x14ac:dyDescent="0.3">
      <c r="A21" t="s">
        <v>1412</v>
      </c>
      <c r="C21">
        <v>233</v>
      </c>
      <c r="D21">
        <v>257</v>
      </c>
      <c r="E21">
        <v>283</v>
      </c>
      <c r="F21">
        <v>312</v>
      </c>
      <c r="G21">
        <v>343</v>
      </c>
      <c r="H21">
        <v>378</v>
      </c>
      <c r="I21">
        <v>450</v>
      </c>
      <c r="J21">
        <v>510</v>
      </c>
      <c r="K21">
        <v>390</v>
      </c>
      <c r="L21">
        <v>310</v>
      </c>
      <c r="M21">
        <v>250</v>
      </c>
      <c r="N21">
        <v>200</v>
      </c>
    </row>
    <row r="22" spans="1:14" x14ac:dyDescent="0.3">
      <c r="A22" t="s">
        <v>1413</v>
      </c>
    </row>
    <row r="23" spans="1:14" x14ac:dyDescent="0.3">
      <c r="A23" t="s">
        <v>1414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5.2</v>
      </c>
      <c r="J23">
        <v>6.1</v>
      </c>
      <c r="K23">
        <v>5</v>
      </c>
      <c r="L23">
        <v>4.4000000000000004</v>
      </c>
      <c r="M23">
        <v>4.0999999999999996</v>
      </c>
      <c r="N23">
        <v>4</v>
      </c>
    </row>
    <row r="24" spans="1:14" x14ac:dyDescent="0.3">
      <c r="A24" t="s">
        <v>1415</v>
      </c>
      <c r="C24">
        <v>60</v>
      </c>
      <c r="D24">
        <v>55.6</v>
      </c>
      <c r="E24">
        <v>50.8</v>
      </c>
      <c r="F24">
        <v>45.4</v>
      </c>
      <c r="G24">
        <v>39.6</v>
      </c>
      <c r="H24">
        <v>33.1</v>
      </c>
      <c r="I24">
        <v>18</v>
      </c>
      <c r="J24">
        <v>5</v>
      </c>
      <c r="K24">
        <v>0.5</v>
      </c>
      <c r="L24">
        <v>0</v>
      </c>
      <c r="M24">
        <v>0</v>
      </c>
      <c r="N24">
        <v>0</v>
      </c>
    </row>
    <row r="25" spans="1:14" x14ac:dyDescent="0.3">
      <c r="A25" t="s">
        <v>1416</v>
      </c>
      <c r="C25">
        <v>30</v>
      </c>
      <c r="D25">
        <v>27.8</v>
      </c>
      <c r="E25">
        <v>25.4</v>
      </c>
      <c r="F25">
        <v>22.7</v>
      </c>
      <c r="G25">
        <v>19.8</v>
      </c>
      <c r="H25">
        <v>16.600000000000001</v>
      </c>
      <c r="I25">
        <v>10</v>
      </c>
      <c r="J25">
        <v>4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1211</v>
      </c>
      <c r="C26">
        <v>72</v>
      </c>
      <c r="D26">
        <v>80</v>
      </c>
      <c r="E26">
        <v>88</v>
      </c>
      <c r="F26">
        <v>96</v>
      </c>
      <c r="G26">
        <v>104</v>
      </c>
      <c r="H26">
        <v>112</v>
      </c>
      <c r="I26">
        <v>135</v>
      </c>
      <c r="J26">
        <v>165</v>
      </c>
      <c r="K26">
        <v>190</v>
      </c>
      <c r="L26">
        <v>205</v>
      </c>
      <c r="M26">
        <v>215</v>
      </c>
      <c r="N26">
        <v>220</v>
      </c>
    </row>
    <row r="27" spans="1:14" x14ac:dyDescent="0.3">
      <c r="A27" t="s">
        <v>1417</v>
      </c>
      <c r="C27">
        <v>0.52600000000000002</v>
      </c>
      <c r="D27">
        <v>0.52400000000000002</v>
      </c>
      <c r="E27">
        <v>0.52400000000000002</v>
      </c>
      <c r="F27">
        <v>0.52600000000000002</v>
      </c>
      <c r="G27">
        <v>0.53</v>
      </c>
      <c r="H27">
        <v>0.53500000000000003</v>
      </c>
      <c r="I27">
        <v>0.54</v>
      </c>
      <c r="J27">
        <v>0.52500000000000002</v>
      </c>
      <c r="K27">
        <v>0.51</v>
      </c>
      <c r="L27">
        <v>0.498</v>
      </c>
      <c r="M27">
        <v>0.49</v>
      </c>
      <c r="N27">
        <v>0.48499999999999999</v>
      </c>
    </row>
    <row r="29" spans="1:14" x14ac:dyDescent="0.3">
      <c r="A29" s="255" t="s">
        <v>1418</v>
      </c>
    </row>
    <row r="30" spans="1:14" x14ac:dyDescent="0.3">
      <c r="A30" t="s">
        <v>1419</v>
      </c>
      <c r="C30">
        <v>20</v>
      </c>
      <c r="D30">
        <v>21</v>
      </c>
      <c r="E30">
        <v>22</v>
      </c>
      <c r="F30">
        <v>24</v>
      </c>
      <c r="G30">
        <v>26</v>
      </c>
      <c r="H30">
        <v>28</v>
      </c>
      <c r="I30">
        <v>25</v>
      </c>
      <c r="J30">
        <v>21</v>
      </c>
      <c r="K30">
        <v>18</v>
      </c>
      <c r="L30">
        <v>17</v>
      </c>
      <c r="M30">
        <v>18</v>
      </c>
      <c r="N30">
        <v>19</v>
      </c>
    </row>
    <row r="31" spans="1:14" x14ac:dyDescent="0.3">
      <c r="A31" t="s">
        <v>1420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-3</v>
      </c>
      <c r="J31">
        <v>-7</v>
      </c>
      <c r="K31">
        <v>-10</v>
      </c>
      <c r="L31">
        <v>-11</v>
      </c>
      <c r="M31">
        <v>-10</v>
      </c>
      <c r="N31">
        <v>-9</v>
      </c>
    </row>
    <row r="32" spans="1:14" x14ac:dyDescent="0.3">
      <c r="A32" t="s">
        <v>1421</v>
      </c>
      <c r="C32">
        <v>4.5</v>
      </c>
      <c r="D32">
        <v>4.5</v>
      </c>
      <c r="E32">
        <v>4.5</v>
      </c>
      <c r="F32">
        <v>4.5</v>
      </c>
      <c r="G32">
        <v>4.5</v>
      </c>
      <c r="H32">
        <v>4.5</v>
      </c>
      <c r="I32">
        <v>5.7</v>
      </c>
      <c r="J32">
        <v>6.8</v>
      </c>
      <c r="K32">
        <v>5.7</v>
      </c>
      <c r="L32">
        <v>5.0999999999999996</v>
      </c>
      <c r="M32">
        <v>4.8</v>
      </c>
      <c r="N32">
        <v>4.5999999999999996</v>
      </c>
    </row>
    <row r="33" spans="1:14" x14ac:dyDescent="0.3">
      <c r="A33" t="s">
        <v>1422</v>
      </c>
      <c r="C33">
        <v>60</v>
      </c>
      <c r="D33">
        <v>61</v>
      </c>
      <c r="E33">
        <v>62</v>
      </c>
      <c r="F33">
        <v>64</v>
      </c>
      <c r="G33">
        <v>66</v>
      </c>
      <c r="H33">
        <v>68</v>
      </c>
      <c r="I33">
        <v>71</v>
      </c>
      <c r="J33">
        <v>75</v>
      </c>
      <c r="K33">
        <v>79</v>
      </c>
      <c r="L33">
        <v>83</v>
      </c>
      <c r="M33">
        <v>85</v>
      </c>
      <c r="N33">
        <v>84</v>
      </c>
    </row>
    <row r="34" spans="1:14" x14ac:dyDescent="0.3">
      <c r="A34" t="s">
        <v>1423</v>
      </c>
      <c r="C34">
        <v>100</v>
      </c>
      <c r="D34">
        <v>104</v>
      </c>
      <c r="E34">
        <v>108</v>
      </c>
      <c r="F34">
        <v>112</v>
      </c>
      <c r="G34">
        <v>116</v>
      </c>
      <c r="H34">
        <v>120</v>
      </c>
      <c r="I34">
        <v>118</v>
      </c>
      <c r="J34">
        <v>112</v>
      </c>
      <c r="K34">
        <v>106</v>
      </c>
      <c r="L34">
        <v>103</v>
      </c>
      <c r="M34">
        <v>105</v>
      </c>
      <c r="N34">
        <v>107</v>
      </c>
    </row>
    <row r="36" spans="1:14" x14ac:dyDescent="0.3">
      <c r="A36" s="255" t="s">
        <v>1424</v>
      </c>
    </row>
    <row r="37" spans="1:14" x14ac:dyDescent="0.3">
      <c r="A37" t="s">
        <v>1425</v>
      </c>
    </row>
    <row r="38" spans="1:14" x14ac:dyDescent="0.3">
      <c r="A38" t="s">
        <v>1426</v>
      </c>
    </row>
    <row r="39" spans="1:14" x14ac:dyDescent="0.3">
      <c r="A39" t="s">
        <v>1427</v>
      </c>
    </row>
    <row r="40" spans="1:14" x14ac:dyDescent="0.3">
      <c r="A40" t="s">
        <v>1428</v>
      </c>
    </row>
    <row r="41" spans="1:14" x14ac:dyDescent="0.3">
      <c r="A41" t="s">
        <v>1429</v>
      </c>
    </row>
    <row r="42" spans="1:14" x14ac:dyDescent="0.3">
      <c r="A42" t="s">
        <v>1430</v>
      </c>
    </row>
    <row r="44" spans="1:14" x14ac:dyDescent="0.3">
      <c r="A44" s="255" t="s">
        <v>1431</v>
      </c>
    </row>
    <row r="45" spans="1:14" x14ac:dyDescent="0.3">
      <c r="A45" t="s">
        <v>1432</v>
      </c>
    </row>
    <row r="46" spans="1:14" x14ac:dyDescent="0.3">
      <c r="A46" t="s">
        <v>1433</v>
      </c>
    </row>
    <row r="47" spans="1:14" x14ac:dyDescent="0.3">
      <c r="A47" t="s">
        <v>1434</v>
      </c>
    </row>
    <row r="48" spans="1:14" x14ac:dyDescent="0.3">
      <c r="A48" t="s">
        <v>1435</v>
      </c>
    </row>
    <row r="49" spans="1:14" x14ac:dyDescent="0.3">
      <c r="A49" t="s">
        <v>1436</v>
      </c>
    </row>
    <row r="50" spans="1:14" x14ac:dyDescent="0.3">
      <c r="A50" t="s">
        <v>1437</v>
      </c>
    </row>
    <row r="51" spans="1:14" x14ac:dyDescent="0.3">
      <c r="A51" t="s">
        <v>1438</v>
      </c>
    </row>
    <row r="56" spans="1:14" x14ac:dyDescent="0.3">
      <c r="A56" s="256" t="s">
        <v>1439</v>
      </c>
    </row>
    <row r="57" spans="1:14" x14ac:dyDescent="0.3">
      <c r="A57" s="251" t="s">
        <v>1440</v>
      </c>
    </row>
    <row r="58" spans="1:14" x14ac:dyDescent="0.3">
      <c r="A58" t="s">
        <v>1376</v>
      </c>
      <c r="C58" t="s">
        <v>108</v>
      </c>
      <c r="D58" t="s">
        <v>109</v>
      </c>
      <c r="E58" t="s">
        <v>110</v>
      </c>
      <c r="F58" t="s">
        <v>111</v>
      </c>
      <c r="G58" t="s">
        <v>112</v>
      </c>
      <c r="H58" t="s">
        <v>113</v>
      </c>
      <c r="I58" t="s">
        <v>1377</v>
      </c>
      <c r="J58" t="s">
        <v>1378</v>
      </c>
      <c r="K58" t="s">
        <v>1379</v>
      </c>
      <c r="L58" t="s">
        <v>1380</v>
      </c>
      <c r="M58" t="s">
        <v>1381</v>
      </c>
      <c r="N58" t="s">
        <v>1382</v>
      </c>
    </row>
    <row r="59" spans="1:14" x14ac:dyDescent="0.3">
      <c r="A59" t="s">
        <v>1441</v>
      </c>
      <c r="C59">
        <v>38</v>
      </c>
      <c r="D59">
        <v>38</v>
      </c>
      <c r="E59">
        <v>38</v>
      </c>
      <c r="F59">
        <v>38</v>
      </c>
      <c r="G59">
        <v>38</v>
      </c>
      <c r="H59">
        <v>38</v>
      </c>
      <c r="I59">
        <v>39.5</v>
      </c>
      <c r="J59">
        <v>41</v>
      </c>
      <c r="K59">
        <v>42.5</v>
      </c>
      <c r="L59">
        <v>44</v>
      </c>
      <c r="M59">
        <v>44</v>
      </c>
      <c r="N59">
        <v>44</v>
      </c>
    </row>
    <row r="60" spans="1:14" x14ac:dyDescent="0.3">
      <c r="A60" t="s">
        <v>1387</v>
      </c>
      <c r="C60">
        <v>650</v>
      </c>
      <c r="D60">
        <v>650</v>
      </c>
      <c r="E60">
        <v>657</v>
      </c>
      <c r="F60">
        <v>664</v>
      </c>
      <c r="G60">
        <v>671</v>
      </c>
      <c r="H60">
        <v>678</v>
      </c>
      <c r="I60">
        <v>640</v>
      </c>
      <c r="J60">
        <v>600</v>
      </c>
      <c r="K60">
        <v>560</v>
      </c>
      <c r="L60">
        <v>520</v>
      </c>
      <c r="M60">
        <v>490</v>
      </c>
      <c r="N60">
        <v>475</v>
      </c>
    </row>
    <row r="61" spans="1:14" x14ac:dyDescent="0.3">
      <c r="A61" s="251" t="s">
        <v>1442</v>
      </c>
      <c r="C61">
        <v>110</v>
      </c>
      <c r="D61">
        <v>108</v>
      </c>
      <c r="E61">
        <v>106</v>
      </c>
      <c r="F61">
        <v>104</v>
      </c>
      <c r="G61">
        <v>102</v>
      </c>
      <c r="H61">
        <v>100</v>
      </c>
      <c r="I61">
        <v>99</v>
      </c>
      <c r="J61">
        <v>98</v>
      </c>
      <c r="K61">
        <v>97</v>
      </c>
      <c r="L61">
        <v>96</v>
      </c>
      <c r="M61">
        <v>95</v>
      </c>
      <c r="N61">
        <v>95</v>
      </c>
    </row>
    <row r="62" spans="1:14" x14ac:dyDescent="0.3">
      <c r="A62" t="s">
        <v>1410</v>
      </c>
      <c r="C62">
        <v>80</v>
      </c>
      <c r="D62">
        <v>88</v>
      </c>
      <c r="E62">
        <v>97</v>
      </c>
      <c r="F62">
        <v>106</v>
      </c>
      <c r="G62">
        <v>117</v>
      </c>
      <c r="H62">
        <v>129</v>
      </c>
      <c r="I62">
        <v>122</v>
      </c>
      <c r="J62">
        <v>112</v>
      </c>
      <c r="K62">
        <v>100</v>
      </c>
      <c r="L62">
        <v>90</v>
      </c>
      <c r="M62">
        <v>85</v>
      </c>
      <c r="N62">
        <v>82</v>
      </c>
    </row>
    <row r="63" spans="1:14" x14ac:dyDescent="0.3">
      <c r="A63" t="s">
        <v>1412</v>
      </c>
      <c r="C63">
        <v>233</v>
      </c>
      <c r="D63">
        <v>257</v>
      </c>
      <c r="E63">
        <v>283</v>
      </c>
      <c r="F63">
        <v>312</v>
      </c>
      <c r="G63">
        <v>343</v>
      </c>
      <c r="H63">
        <v>378</v>
      </c>
      <c r="I63">
        <v>410</v>
      </c>
      <c r="J63">
        <v>440</v>
      </c>
      <c r="K63">
        <v>420</v>
      </c>
      <c r="L63">
        <v>390</v>
      </c>
      <c r="M63">
        <v>350</v>
      </c>
      <c r="N63">
        <v>310</v>
      </c>
    </row>
    <row r="64" spans="1:14" x14ac:dyDescent="0.3">
      <c r="A64" t="s">
        <v>1414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4.3</v>
      </c>
      <c r="J64">
        <v>4.5999999999999996</v>
      </c>
      <c r="K64">
        <v>4.4000000000000004</v>
      </c>
      <c r="L64">
        <v>4.2</v>
      </c>
      <c r="M64">
        <v>4.0999999999999996</v>
      </c>
      <c r="N64">
        <v>4</v>
      </c>
    </row>
    <row r="65" spans="1:14" x14ac:dyDescent="0.3">
      <c r="A65" t="s">
        <v>1443</v>
      </c>
      <c r="C65">
        <v>20</v>
      </c>
      <c r="D65">
        <v>21</v>
      </c>
      <c r="E65">
        <v>22</v>
      </c>
      <c r="F65">
        <v>24</v>
      </c>
      <c r="G65">
        <v>26</v>
      </c>
      <c r="H65">
        <v>28</v>
      </c>
      <c r="I65">
        <v>26</v>
      </c>
      <c r="J65">
        <v>24</v>
      </c>
      <c r="K65">
        <v>22</v>
      </c>
      <c r="L65">
        <v>21</v>
      </c>
      <c r="M65">
        <v>21</v>
      </c>
      <c r="N65">
        <v>22</v>
      </c>
    </row>
    <row r="66" spans="1:14" x14ac:dyDescent="0.3">
      <c r="A66" t="s">
        <v>1444</v>
      </c>
      <c r="C66">
        <v>195</v>
      </c>
      <c r="D66">
        <v>198</v>
      </c>
      <c r="E66">
        <v>200</v>
      </c>
      <c r="F66">
        <v>202</v>
      </c>
      <c r="G66">
        <v>203.5</v>
      </c>
      <c r="H66">
        <v>205</v>
      </c>
      <c r="I66">
        <v>208</v>
      </c>
      <c r="J66">
        <v>212</v>
      </c>
      <c r="K66">
        <v>215</v>
      </c>
      <c r="L66">
        <v>218</v>
      </c>
      <c r="M66">
        <v>220</v>
      </c>
      <c r="N66">
        <v>222</v>
      </c>
    </row>
    <row r="67" spans="1:14" x14ac:dyDescent="0.3">
      <c r="A67" t="s">
        <v>1445</v>
      </c>
      <c r="C67">
        <v>0.55000000000000004</v>
      </c>
      <c r="D67">
        <v>0.55000000000000004</v>
      </c>
      <c r="E67">
        <v>0.54</v>
      </c>
      <c r="F67">
        <v>0.54</v>
      </c>
      <c r="G67">
        <v>0.54</v>
      </c>
      <c r="H67">
        <v>0.53</v>
      </c>
      <c r="I67">
        <v>0.52</v>
      </c>
      <c r="J67">
        <v>0.51</v>
      </c>
      <c r="K67">
        <v>0.5</v>
      </c>
      <c r="L67">
        <v>0.49</v>
      </c>
      <c r="M67">
        <v>0.48</v>
      </c>
      <c r="N67">
        <v>0.48</v>
      </c>
    </row>
    <row r="68" spans="1:14" x14ac:dyDescent="0.3">
      <c r="A68" s="251" t="s">
        <v>1446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-0.2</v>
      </c>
      <c r="J68">
        <v>-0.3</v>
      </c>
      <c r="K68">
        <v>-0.2</v>
      </c>
      <c r="L68">
        <v>-0.1</v>
      </c>
      <c r="M68">
        <v>0</v>
      </c>
      <c r="N68">
        <v>0.1</v>
      </c>
    </row>
    <row r="69" spans="1:14" x14ac:dyDescent="0.3">
      <c r="A69" s="251" t="s">
        <v>1447</v>
      </c>
    </row>
    <row r="71" spans="1:14" x14ac:dyDescent="0.3">
      <c r="A71" s="257" t="s">
        <v>1448</v>
      </c>
    </row>
    <row r="72" spans="1:14" x14ac:dyDescent="0.3">
      <c r="A72" s="251" t="s">
        <v>1449</v>
      </c>
    </row>
    <row r="73" spans="1:14" x14ac:dyDescent="0.3">
      <c r="A73" t="s">
        <v>1376</v>
      </c>
      <c r="C73" t="s">
        <v>108</v>
      </c>
      <c r="D73" t="s">
        <v>109</v>
      </c>
      <c r="E73" t="s">
        <v>110</v>
      </c>
      <c r="F73" t="s">
        <v>111</v>
      </c>
      <c r="G73" t="s">
        <v>112</v>
      </c>
      <c r="H73" t="s">
        <v>113</v>
      </c>
      <c r="I73" t="s">
        <v>1377</v>
      </c>
      <c r="J73" t="s">
        <v>1378</v>
      </c>
      <c r="K73" t="s">
        <v>1379</v>
      </c>
      <c r="L73" t="s">
        <v>1380</v>
      </c>
      <c r="M73" t="s">
        <v>1381</v>
      </c>
      <c r="N73" t="s">
        <v>1382</v>
      </c>
    </row>
    <row r="74" spans="1:14" x14ac:dyDescent="0.3">
      <c r="A74" t="s">
        <v>1441</v>
      </c>
      <c r="C74">
        <v>38</v>
      </c>
      <c r="D74">
        <v>38</v>
      </c>
      <c r="E74">
        <v>38</v>
      </c>
      <c r="F74">
        <v>38</v>
      </c>
      <c r="G74">
        <v>38</v>
      </c>
      <c r="H74">
        <v>38</v>
      </c>
      <c r="I74">
        <v>39.5</v>
      </c>
      <c r="J74">
        <v>41</v>
      </c>
      <c r="K74">
        <v>40</v>
      </c>
      <c r="L74">
        <v>38.5</v>
      </c>
      <c r="M74">
        <v>37.5</v>
      </c>
      <c r="N74">
        <v>37</v>
      </c>
    </row>
    <row r="75" spans="1:14" x14ac:dyDescent="0.3">
      <c r="A75" s="251" t="s">
        <v>1450</v>
      </c>
    </row>
    <row r="76" spans="1:14" x14ac:dyDescent="0.3">
      <c r="A76" t="s">
        <v>1387</v>
      </c>
      <c r="C76">
        <v>650</v>
      </c>
      <c r="D76">
        <v>650</v>
      </c>
      <c r="E76">
        <v>657</v>
      </c>
      <c r="F76">
        <v>664</v>
      </c>
      <c r="G76">
        <v>671</v>
      </c>
      <c r="H76">
        <v>678</v>
      </c>
      <c r="I76">
        <v>580</v>
      </c>
      <c r="J76">
        <v>480</v>
      </c>
      <c r="K76">
        <v>400</v>
      </c>
      <c r="L76">
        <v>370</v>
      </c>
      <c r="M76">
        <v>360</v>
      </c>
      <c r="N76">
        <v>355</v>
      </c>
    </row>
    <row r="77" spans="1:14" x14ac:dyDescent="0.3">
      <c r="A77" s="251" t="s">
        <v>1451</v>
      </c>
      <c r="C77">
        <v>110</v>
      </c>
      <c r="D77">
        <v>108</v>
      </c>
      <c r="E77">
        <v>106</v>
      </c>
      <c r="F77">
        <v>104</v>
      </c>
      <c r="G77">
        <v>102</v>
      </c>
      <c r="H77">
        <v>100</v>
      </c>
      <c r="I77">
        <v>85</v>
      </c>
      <c r="J77">
        <v>72</v>
      </c>
      <c r="K77">
        <v>68</v>
      </c>
      <c r="L77">
        <v>65</v>
      </c>
      <c r="M77">
        <v>64</v>
      </c>
      <c r="N77">
        <v>64</v>
      </c>
    </row>
    <row r="78" spans="1:14" x14ac:dyDescent="0.3">
      <c r="A78" t="s">
        <v>1452</v>
      </c>
      <c r="C78">
        <v>100</v>
      </c>
      <c r="D78">
        <v>101</v>
      </c>
      <c r="E78">
        <v>102</v>
      </c>
      <c r="F78">
        <v>103</v>
      </c>
      <c r="G78">
        <v>104</v>
      </c>
      <c r="H78">
        <v>105</v>
      </c>
      <c r="I78">
        <v>95</v>
      </c>
      <c r="J78">
        <v>82</v>
      </c>
      <c r="K78">
        <v>75</v>
      </c>
      <c r="L78">
        <v>72</v>
      </c>
      <c r="M78">
        <v>71</v>
      </c>
      <c r="N78">
        <v>71</v>
      </c>
    </row>
    <row r="79" spans="1:14" x14ac:dyDescent="0.3">
      <c r="A79" t="s">
        <v>1453</v>
      </c>
      <c r="C79">
        <v>100</v>
      </c>
      <c r="D79">
        <v>101</v>
      </c>
      <c r="E79">
        <v>102</v>
      </c>
      <c r="F79">
        <v>103</v>
      </c>
      <c r="G79">
        <v>104</v>
      </c>
      <c r="H79">
        <v>105</v>
      </c>
      <c r="I79">
        <v>92</v>
      </c>
      <c r="J79">
        <v>78</v>
      </c>
      <c r="K79">
        <v>70</v>
      </c>
      <c r="L79">
        <v>67</v>
      </c>
      <c r="M79">
        <v>66</v>
      </c>
      <c r="N79">
        <v>66</v>
      </c>
    </row>
    <row r="80" spans="1:14" x14ac:dyDescent="0.3">
      <c r="A80" t="s">
        <v>1410</v>
      </c>
      <c r="C80">
        <v>80</v>
      </c>
      <c r="D80">
        <v>88</v>
      </c>
      <c r="E80">
        <v>97</v>
      </c>
      <c r="F80">
        <v>106</v>
      </c>
      <c r="G80">
        <v>117</v>
      </c>
      <c r="H80">
        <v>129</v>
      </c>
      <c r="I80">
        <v>108</v>
      </c>
      <c r="J80">
        <v>88</v>
      </c>
      <c r="K80">
        <v>72</v>
      </c>
      <c r="L80">
        <v>65</v>
      </c>
      <c r="M80">
        <v>62</v>
      </c>
      <c r="N80">
        <v>60</v>
      </c>
    </row>
    <row r="81" spans="1:14" x14ac:dyDescent="0.3">
      <c r="A81" t="s">
        <v>1454</v>
      </c>
      <c r="C81">
        <v>233</v>
      </c>
      <c r="D81">
        <v>257</v>
      </c>
      <c r="E81">
        <v>283</v>
      </c>
      <c r="F81">
        <v>312</v>
      </c>
      <c r="G81">
        <v>343</v>
      </c>
      <c r="H81">
        <v>378</v>
      </c>
      <c r="I81">
        <v>490</v>
      </c>
      <c r="J81">
        <v>558</v>
      </c>
      <c r="K81">
        <v>460</v>
      </c>
      <c r="L81">
        <v>380</v>
      </c>
      <c r="M81">
        <v>300</v>
      </c>
      <c r="N81">
        <v>250</v>
      </c>
    </row>
    <row r="82" spans="1:14" x14ac:dyDescent="0.3">
      <c r="A82" t="s">
        <v>1455</v>
      </c>
      <c r="C82">
        <v>4</v>
      </c>
      <c r="D82">
        <v>4</v>
      </c>
      <c r="E82">
        <v>4</v>
      </c>
      <c r="F82">
        <v>4</v>
      </c>
      <c r="G82">
        <v>4</v>
      </c>
      <c r="H82">
        <v>4</v>
      </c>
      <c r="I82">
        <v>5.8</v>
      </c>
      <c r="J82">
        <v>7.2</v>
      </c>
      <c r="K82">
        <v>5.5</v>
      </c>
      <c r="L82">
        <v>4.8</v>
      </c>
      <c r="M82">
        <v>4.3</v>
      </c>
      <c r="N82">
        <v>4</v>
      </c>
    </row>
    <row r="83" spans="1:14" x14ac:dyDescent="0.3">
      <c r="A83" t="s">
        <v>1456</v>
      </c>
      <c r="C83">
        <v>20</v>
      </c>
      <c r="D83">
        <v>21</v>
      </c>
      <c r="E83">
        <v>22</v>
      </c>
      <c r="F83">
        <v>24</v>
      </c>
      <c r="G83">
        <v>26</v>
      </c>
      <c r="H83">
        <v>28</v>
      </c>
      <c r="I83">
        <v>22</v>
      </c>
      <c r="J83">
        <v>16</v>
      </c>
      <c r="K83">
        <v>18</v>
      </c>
      <c r="L83">
        <v>19</v>
      </c>
      <c r="M83">
        <v>20</v>
      </c>
      <c r="N83">
        <v>21</v>
      </c>
    </row>
    <row r="84" spans="1:14" x14ac:dyDescent="0.3">
      <c r="A84" t="s">
        <v>1457</v>
      </c>
      <c r="C84">
        <v>195</v>
      </c>
      <c r="D84">
        <v>198</v>
      </c>
      <c r="E84">
        <v>200</v>
      </c>
      <c r="F84">
        <v>202</v>
      </c>
      <c r="G84">
        <v>203.5</v>
      </c>
      <c r="H84">
        <v>205</v>
      </c>
      <c r="I84">
        <v>210</v>
      </c>
      <c r="J84">
        <v>218</v>
      </c>
      <c r="K84">
        <v>225</v>
      </c>
      <c r="L84">
        <v>230</v>
      </c>
      <c r="M84">
        <v>232</v>
      </c>
      <c r="N84">
        <v>233</v>
      </c>
    </row>
    <row r="85" spans="1:14" x14ac:dyDescent="0.3">
      <c r="A85" t="s">
        <v>1458</v>
      </c>
      <c r="C85">
        <v>0.55000000000000004</v>
      </c>
      <c r="D85">
        <v>0.55000000000000004</v>
      </c>
      <c r="E85">
        <v>0.54</v>
      </c>
      <c r="F85">
        <v>0.54</v>
      </c>
      <c r="G85">
        <v>0.54</v>
      </c>
      <c r="H85">
        <v>0.53</v>
      </c>
      <c r="I85">
        <v>0.55000000000000004</v>
      </c>
      <c r="J85">
        <v>0.57999999999999996</v>
      </c>
      <c r="K85">
        <v>0.56000000000000005</v>
      </c>
      <c r="L85">
        <v>0.53</v>
      </c>
      <c r="M85">
        <v>0.51</v>
      </c>
      <c r="N85">
        <v>0.49</v>
      </c>
    </row>
    <row r="86" spans="1:14" x14ac:dyDescent="0.3">
      <c r="A86" s="251" t="s">
        <v>1459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-0.8</v>
      </c>
      <c r="J86">
        <v>-1.5</v>
      </c>
      <c r="K86">
        <v>-0.8</v>
      </c>
      <c r="L86">
        <v>-0.3</v>
      </c>
      <c r="M86">
        <v>0.1</v>
      </c>
      <c r="N86">
        <v>0.3</v>
      </c>
    </row>
    <row r="87" spans="1:14" x14ac:dyDescent="0.3">
      <c r="A87" s="251" t="s">
        <v>1460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</v>
      </c>
      <c r="J87">
        <v>-2.5</v>
      </c>
      <c r="K87">
        <v>-3</v>
      </c>
      <c r="L87">
        <v>-2.5</v>
      </c>
      <c r="M87">
        <v>-2</v>
      </c>
      <c r="N87">
        <v>-1.5</v>
      </c>
    </row>
    <row r="88" spans="1:14" x14ac:dyDescent="0.3">
      <c r="A88" s="251" t="s">
        <v>1461</v>
      </c>
    </row>
    <row r="90" spans="1:14" x14ac:dyDescent="0.3">
      <c r="A90" s="255" t="s">
        <v>1462</v>
      </c>
    </row>
    <row r="91" spans="1:14" x14ac:dyDescent="0.3">
      <c r="C91" t="s">
        <v>108</v>
      </c>
      <c r="D91" t="s">
        <v>109</v>
      </c>
      <c r="E91" t="s">
        <v>110</v>
      </c>
      <c r="F91" t="s">
        <v>111</v>
      </c>
      <c r="G91" t="s">
        <v>112</v>
      </c>
      <c r="H91" t="s">
        <v>113</v>
      </c>
      <c r="I91" t="s">
        <v>1377</v>
      </c>
      <c r="J91" t="s">
        <v>1378</v>
      </c>
      <c r="K91" t="s">
        <v>1379</v>
      </c>
      <c r="L91" t="s">
        <v>1380</v>
      </c>
      <c r="M91" t="s">
        <v>1381</v>
      </c>
      <c r="N91" t="s">
        <v>1382</v>
      </c>
    </row>
    <row r="92" spans="1:14" x14ac:dyDescent="0.3">
      <c r="A92" t="s">
        <v>1463</v>
      </c>
      <c r="C92" t="s">
        <v>1464</v>
      </c>
    </row>
    <row r="93" spans="1:14" x14ac:dyDescent="0.3">
      <c r="A93" t="s">
        <v>1465</v>
      </c>
      <c r="I93" t="s">
        <v>1466</v>
      </c>
      <c r="J93" t="s">
        <v>1467</v>
      </c>
      <c r="K93" t="s">
        <v>1468</v>
      </c>
      <c r="L93" t="s">
        <v>1469</v>
      </c>
      <c r="M93" t="s">
        <v>1470</v>
      </c>
      <c r="N93" t="s">
        <v>1471</v>
      </c>
    </row>
    <row r="94" spans="1:14" x14ac:dyDescent="0.3">
      <c r="A94" t="s">
        <v>1472</v>
      </c>
      <c r="J94" t="s">
        <v>1473</v>
      </c>
      <c r="M94" t="s">
        <v>1474</v>
      </c>
    </row>
    <row r="95" spans="1:14" x14ac:dyDescent="0.3">
      <c r="A95" t="s">
        <v>1475</v>
      </c>
      <c r="H95" t="s">
        <v>1476</v>
      </c>
      <c r="N95" t="s">
        <v>1477</v>
      </c>
    </row>
    <row r="96" spans="1:14" x14ac:dyDescent="0.3">
      <c r="A96" t="s">
        <v>1478</v>
      </c>
      <c r="J96" t="s">
        <v>1479</v>
      </c>
    </row>
    <row r="97" spans="1:10" x14ac:dyDescent="0.3">
      <c r="A97" t="s">
        <v>1480</v>
      </c>
      <c r="J97" t="s">
        <v>1481</v>
      </c>
    </row>
    <row r="98" spans="1:10" x14ac:dyDescent="0.3">
      <c r="A98" t="s">
        <v>1482</v>
      </c>
      <c r="J98" t="s">
        <v>1380</v>
      </c>
    </row>
    <row r="100" spans="1:10" x14ac:dyDescent="0.3">
      <c r="A100" s="255" t="s">
        <v>1483</v>
      </c>
    </row>
    <row r="101" spans="1:10" x14ac:dyDescent="0.3">
      <c r="A101" s="251" t="s">
        <v>1484</v>
      </c>
    </row>
    <row r="102" spans="1:10" x14ac:dyDescent="0.3">
      <c r="A102" s="251" t="s">
        <v>1485</v>
      </c>
    </row>
    <row r="103" spans="1:10" x14ac:dyDescent="0.3">
      <c r="A103" s="251" t="s">
        <v>1486</v>
      </c>
    </row>
    <row r="104" spans="1:10" x14ac:dyDescent="0.3">
      <c r="A104" s="251" t="s">
        <v>1487</v>
      </c>
    </row>
    <row r="105" spans="1:10" x14ac:dyDescent="0.3">
      <c r="A105" s="251" t="s">
        <v>1488</v>
      </c>
    </row>
    <row r="106" spans="1:10" x14ac:dyDescent="0.3">
      <c r="A106" s="251" t="s">
        <v>1489</v>
      </c>
    </row>
    <row r="107" spans="1:10" x14ac:dyDescent="0.3">
      <c r="A107" s="251" t="s">
        <v>1490</v>
      </c>
    </row>
    <row r="108" spans="1:10" x14ac:dyDescent="0.3">
      <c r="A108" s="251" t="s">
        <v>1491</v>
      </c>
    </row>
    <row r="109" spans="1:10" x14ac:dyDescent="0.3">
      <c r="A109" s="251" t="s">
        <v>1492</v>
      </c>
    </row>
    <row r="110" spans="1:10" x14ac:dyDescent="0.3">
      <c r="A110" s="251" t="s">
        <v>1493</v>
      </c>
    </row>
    <row r="111" spans="1:10" x14ac:dyDescent="0.3">
      <c r="A111" s="251" t="s">
        <v>1494</v>
      </c>
    </row>
    <row r="112" spans="1:10" x14ac:dyDescent="0.3">
      <c r="A112" s="251" t="s">
        <v>1495</v>
      </c>
    </row>
    <row r="113" spans="1:1" x14ac:dyDescent="0.3">
      <c r="A113" s="251" t="s">
        <v>1496</v>
      </c>
    </row>
    <row r="114" spans="1:1" x14ac:dyDescent="0.3">
      <c r="A114" s="251" t="s">
        <v>1497</v>
      </c>
    </row>
    <row r="115" spans="1:1" x14ac:dyDescent="0.3">
      <c r="A115" s="251" t="s">
        <v>1498</v>
      </c>
    </row>
    <row r="116" spans="1:1" x14ac:dyDescent="0.3">
      <c r="A116" s="251" t="s">
        <v>1499</v>
      </c>
    </row>
    <row r="117" spans="1:1" x14ac:dyDescent="0.3">
      <c r="A117" s="251" t="s">
        <v>1500</v>
      </c>
    </row>
    <row r="118" spans="1:1" x14ac:dyDescent="0.3">
      <c r="A118" s="251" t="s">
        <v>1501</v>
      </c>
    </row>
    <row r="119" spans="1:1" x14ac:dyDescent="0.3">
      <c r="A119" s="251" t="s">
        <v>1502</v>
      </c>
    </row>
    <row r="120" spans="1:1" x14ac:dyDescent="0.3">
      <c r="A120" s="251" t="s">
        <v>1503</v>
      </c>
    </row>
    <row r="121" spans="1:1" x14ac:dyDescent="0.3">
      <c r="A121" s="251" t="s">
        <v>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README</vt:lpstr>
      <vt:lpstr>ASSUMPTIONS</vt:lpstr>
      <vt:lpstr>REALWORLD_DATA</vt:lpstr>
      <vt:lpstr>AmeriCo</vt:lpstr>
      <vt:lpstr>GovCo</vt:lpstr>
      <vt:lpstr>HouseholdCo</vt:lpstr>
      <vt:lpstr>ManuCo</vt:lpstr>
      <vt:lpstr>ProdServiceCo</vt:lpstr>
      <vt:lpstr>FinServCo</vt:lpstr>
      <vt:lpstr>AmeriBankCo</vt:lpstr>
      <vt:lpstr>InsuranceCo</vt:lpstr>
      <vt:lpstr>OtherBankCo</vt:lpstr>
      <vt:lpstr>JapanCo</vt:lpstr>
      <vt:lpstr>CommodityCo</vt:lpstr>
      <vt:lpstr>ClearCo</vt:lpstr>
      <vt:lpstr>GlobalBankCo</vt:lpstr>
      <vt:lpstr>RepoCo</vt:lpstr>
      <vt:lpstr>HedgeCo</vt:lpstr>
      <vt:lpstr>FedCo</vt:lpstr>
      <vt:lpstr>SFC_CHECK</vt:lpstr>
      <vt:lpstr>MEASURES</vt:lpstr>
      <vt:lpstr>CONTAGION</vt:lpstr>
      <vt:lpstr>JapanCo_Rebalance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Vinodh Raghunathan</cp:lastModifiedBy>
  <cp:revision>0</cp:revision>
  <dcterms:created xsi:type="dcterms:W3CDTF">2026-03-28T08:49:03Z</dcterms:created>
  <dcterms:modified xsi:type="dcterms:W3CDTF">2026-05-05T06:13:48Z</dcterms:modified>
  <dc:language>en-US</dc:language>
</cp:coreProperties>
</file>